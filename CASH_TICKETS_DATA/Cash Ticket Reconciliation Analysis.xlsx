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571f5f917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ad6c1219db4923"/>
    <x:sheet xmlns:r="http://schemas.openxmlformats.org/officeDocument/2006/relationships" name="Reconciliation" sheetId="2" r:id="R3d071e24b22c4cda"/>
    <x:sheet xmlns:r="http://schemas.openxmlformats.org/officeDocument/2006/relationships" name="Date Issues" sheetId="3" r:id="Re0ec490656344294"/>
    <x:sheet xmlns:r="http://schemas.openxmlformats.org/officeDocument/2006/relationships" name="Missing in Report" sheetId="4" r:id="R5803f78d647d44fb"/>
    <x:sheet xmlns:r="http://schemas.openxmlformats.org/officeDocument/2006/relationships" name="Missing in Cash Ticket" sheetId="5" r:id="R8cc3007fea4b42c3"/>
    <x:sheet xmlns:r="http://schemas.openxmlformats.org/officeDocument/2006/relationships" name="Cash Ticket Entries" sheetId="6" r:id="R7ef67d4b42b14a2f"/>
    <x:sheet xmlns:r="http://schemas.openxmlformats.org/officeDocument/2006/relationships" name="Report Entries" sheetId="7" r:id="R01caa642232f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  <x:font>
      <x:i/>
      <x:sz val="11"/>
      <x:color rgb="FF1F2937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right"/>
    </x:xf>
    <x:xf numFmtId="200" fontId="0" fillId="4" borderId="1" xfId="0" applyNumberFormat="1" applyFont="1" applyFill="1" applyBorder="1" applyAlignment="1">
      <x:alignment horizontal="right"/>
    </x:xf>
    <x:xf numFmtId="0" fontId="0" fillId="4" borderId="1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200" fontId="5" fillId="0" borderId="1" xfId="0" applyNumberFormat="1" applyFont="1" applyFill="1" applyBorder="1" applyAlignment="1">
      <x:alignment horizontal="right"/>
    </x:xf>
    <x:xf numFmtId="200" fontId="5" fillId="4" borderId="1" xfId="0" applyNumberFormat="1" applyFont="1" applyFill="1" applyBorder="1" applyAlignment="1">
      <x:alignment horizontal="right"/>
    </x:xf>
    <x:xf numFmtId="0" fontId="5" fillId="4" borderId="1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876b16b78439e" /><Relationship Type="http://schemas.openxmlformats.org/officeDocument/2006/relationships/theme" Target="/xl/theme/theme1.xml" Id="R7e08653a61b34e3c" /><Relationship Type="http://schemas.openxmlformats.org/officeDocument/2006/relationships/sharedStrings" Target="/xl/sharedStrings.xml" Id="Rc5fee4793f5c4a81" /><Relationship Type="http://schemas.openxmlformats.org/officeDocument/2006/relationships/worksheet" Target="/xl/worksheets/sheet1.xml" Id="Rf6ad6c1219db4923" /><Relationship Type="http://schemas.openxmlformats.org/officeDocument/2006/relationships/worksheet" Target="/xl/worksheets/sheet2.xml" Id="R3d071e24b22c4cda" /><Relationship Type="http://schemas.openxmlformats.org/officeDocument/2006/relationships/worksheet" Target="/xl/worksheets/sheet3.xml" Id="Re0ec490656344294" /><Relationship Type="http://schemas.openxmlformats.org/officeDocument/2006/relationships/worksheet" Target="/xl/worksheets/sheet4.xml" Id="R5803f78d647d44fb" /><Relationship Type="http://schemas.openxmlformats.org/officeDocument/2006/relationships/worksheet" Target="/xl/worksheets/sheet5.xml" Id="R8cc3007fea4b42c3" /><Relationship Type="http://schemas.openxmlformats.org/officeDocument/2006/relationships/worksheet" Target="/xl/worksheets/sheet6.xml" Id="R7ef67d4b42b14a2f" /><Relationship Type="http://schemas.openxmlformats.org/officeDocument/2006/relationships/worksheet" Target="/xl/worksheets/sheet7.xml" Id="R01caa642232f44e9" /></Relationships>
</file>

<file path=xl/tables/table1.xml><?xml version="1.0" encoding="utf-8"?>
<x:table xmlns:x="http://schemas.openxmlformats.org/spreadsheetml/2006/main" id="1" name="MatchedEntries" displayName="MatchedEntries" ref="A4:G20" headerRowCount="1" totalsRowCount="0" totalsRowShown="0">
  <x:tableColumns count="7">
    <x:tableColumn id="1" name="Date"/>
    <x:tableColumn id="2" name="Amount"/>
    <x:tableColumn id="3" name="Cash Ticket Sheet"/>
    <x:tableColumn id="4" name="Cash Ticket Cell"/>
    <x:tableColumn id="5" name="RD No."/>
    <x:tableColumn id="6" name="Report Cell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eIssues" displayName="DateIssues" ref="A4:H10" headerRowCount="1" totalsRowCount="0" totalsRowShown="0">
  <x:tableColumns count="8">
    <x:tableColumn id="1" name="Amount"/>
    <x:tableColumn id="2" name="Cash Ticket Date"/>
    <x:tableColumn id="3" name="Report Date"/>
    <x:tableColumn id="4" name="Cash Ticket Sheet"/>
    <x:tableColumn id="5" name="Cash Ticket Cell"/>
    <x:tableColumn id="6" name="RD No."/>
    <x:tableColumn id="7" name="Report Cell"/>
    <x:tableColumn id="8" name="Iss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InReport" displayName="MissingInReport" ref="A4:F5" headerRowCount="1" totalsRowCount="0" totalsRowShown="0">
  <x:tableColumns count="6">
    <x:tableColumn id="1" name="Cash Ticket Sheet"/>
    <x:tableColumn id="2" name="Date"/>
    <x:tableColumn id="3" name="Amount"/>
    <x:tableColumn id="4" name="Cash Ticket Cell"/>
    <x:tableColumn id="5" name="Type"/>
    <x:tableColumn id="6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ssingInCash" displayName="MissingInCash" ref="A4:E5" headerRowCount="1" totalsRowCount="0" totalsRowShown="0">
  <x:tableColumns count="5">
    <x:tableColumn id="1" name="RD No."/>
    <x:tableColumn id="2" name="Report Date"/>
    <x:tableColumn id="3" name="Amount"/>
    <x:tableColumn id="4" name="Report Cell"/>
    <x:tableColumn id="5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hTicketEntries" displayName="CashTicketEntries" ref="A4:E27" headerRowCount="1" totalsRowCount="0" totalsRowShown="0">
  <x:tableColumns count="5">
    <x:tableColumn id="1" name="Cash Ticket Sheet"/>
    <x:tableColumn id="2" name="Date"/>
    <x:tableColumn id="3" name="Amount"/>
    <x:tableColumn id="4" name="Source Cell"/>
    <x:tableColumn id="5" name="Ty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ortEntries" displayName="ReportEntries" ref="A4:D27" headerRowCount="1" totalsRowCount="0" totalsRowShown="0">
  <x:tableColumns count="4">
    <x:tableColumn id="1" name="RD No."/>
    <x:tableColumn id="2" name="Date"/>
    <x:tableColumn id="3" name="Amount"/>
    <x:tableColumn id="4" name="Source Ce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dac77633aa4d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3fa00aa09d4d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2034cbd90d41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fea170f7b046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4f1b76eeb249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9fa76fdeb24e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70.75" hidden="0" customWidth="1"/>
    <x:col min="3" max="3" width="7" hidden="0" customWidth="1"/>
    <x:col min="4" max="4" width="13.130000114440918" hidden="0" customWidth="1"/>
    <x:col min="5" max="5" width="9.75" hidden="0" customWidth="1"/>
    <x:col min="6" max="6" width="41.5" hidden="0" customWidth="1"/>
  </x:cols>
  <x:sheetData>
    <x:row r="1">
      <x:c r="A1" s="21" t="str">
        <x:v>Cash Ticket Reconciliation Analysis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>
      <x:c r="A2" s="23" t="str">
        <x:v>CASH TICKET.xlsx vs Report of Collection (Cash Ticket 2026).xlsx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>
      <x:c r="A4" s="24" t="str">
        <x:v>Metric</x:v>
      </x:c>
      <x:c r="B4" s="24" t="str">
        <x:v>Amount / Count</x:v>
      </x:c>
      <x:c r="C4" s="22"/>
      <x:c r="D4" s="22"/>
      <x:c r="E4" s="22"/>
      <x:c r="F4" s="22"/>
      <x:c r="G4" s="22"/>
      <x:c r="H4" s="22"/>
      <x:c r="I4" s="22"/>
      <x:c r="J4" s="22"/>
      <x:c r="K4" s="22"/>
    </x:row>
    <x:row r="5">
      <x:c r="A5" s="25" t="str">
        <x:v>Cash Ticket remitted total</x:v>
      </x:c>
      <x:c r="B5" s="26" t="n">
        <x:f>SUM('Cash Ticket Entries'!C5:C27)</x:f>
        <x:v>492210</x:v>
      </x:c>
      <x:c r="C5" s="22"/>
      <x:c r="D5" s="22"/>
      <x:c r="E5" s="22"/>
      <x:c r="F5" s="22"/>
      <x:c r="G5" s="22"/>
      <x:c r="H5" s="22"/>
      <x:c r="I5" s="22"/>
      <x:c r="J5" s="22"/>
      <x:c r="K5" s="22"/>
    </x:row>
    <x:row r="6">
      <x:c r="A6" s="25" t="str">
        <x:v>Report of Collection total</x:v>
      </x:c>
      <x:c r="B6" s="26" t="n">
        <x:f>SUM('Report Entries'!C5:C27)</x:f>
        <x:v>491020</x:v>
      </x:c>
      <x:c r="C6" s="22"/>
      <x:c r="D6" s="22"/>
      <x:c r="E6" s="22"/>
      <x:c r="F6" s="22"/>
      <x:c r="G6" s="22"/>
      <x:c r="H6" s="22"/>
      <x:c r="I6" s="22"/>
      <x:c r="J6" s="22"/>
      <x:c r="K6" s="22"/>
    </x:row>
    <x:row r="7">
      <x:c r="A7" s="25" t="str">
        <x:v>Difference: Cash Ticket - Report</x:v>
      </x:c>
      <x:c r="B7" s="26" t="n">
        <x:f>B5-B6</x:f>
        <x:v>1190</x:v>
      </x:c>
      <x:c r="C7" s="22"/>
      <x:c r="D7" s="22"/>
      <x:c r="E7" s="22"/>
      <x:c r="F7" s="22"/>
      <x:c r="G7" s="22"/>
      <x:c r="H7" s="22"/>
      <x:c r="I7" s="22"/>
      <x:c r="J7" s="22"/>
      <x:c r="K7" s="22"/>
    </x:row>
    <x:row r="8">
      <x:c r="A8" s="25" t="str">
        <x:v>Matched entries</x:v>
      </x:c>
      <x:c r="B8" s="27" t="n">
        <x:f>COUNTA(Reconciliation!A5:A20)</x:f>
        <x:v>16</x:v>
      </x:c>
      <x:c r="C8" s="22"/>
      <x:c r="D8" s="22"/>
      <x:c r="E8" s="22"/>
      <x:c r="F8" s="22"/>
      <x:c r="G8" s="22"/>
      <x:c r="H8" s="22"/>
      <x:c r="I8" s="22"/>
      <x:c r="J8" s="22"/>
      <x:c r="K8" s="22"/>
    </x:row>
    <x:row r="9">
      <x:c r="A9" s="25" t="str">
        <x:v>Date issues</x:v>
      </x:c>
      <x:c r="B9" s="27" t="n">
        <x:f>COUNTA('Date Issues'!A5:A10)</x:f>
        <x:v>6</x:v>
      </x:c>
      <x:c r="C9" s="22"/>
      <x:c r="D9" s="22"/>
      <x:c r="E9" s="22"/>
      <x:c r="F9" s="22"/>
      <x:c r="G9" s="22"/>
      <x:c r="H9" s="22"/>
      <x:c r="I9" s="22"/>
      <x:c r="J9" s="22"/>
      <x:c r="K9" s="22"/>
    </x:row>
    <x:row r="10">
      <x:c r="A10" s="25" t="str">
        <x:v>Missing in Report</x:v>
      </x:c>
      <x:c r="B10" s="27" t="n">
        <x:f>COUNTA('Missing in Report'!A5:A5)</x:f>
        <x:v>1</x:v>
      </x:c>
      <x:c r="C10" s="22"/>
      <x:c r="D10" s="22"/>
      <x:c r="E10" s="22"/>
      <x:c r="F10" s="22"/>
      <x:c r="G10" s="22"/>
      <x:c r="H10" s="22"/>
      <x:c r="I10" s="22"/>
      <x:c r="J10" s="22"/>
      <x:c r="K10" s="22"/>
    </x:row>
    <x:row r="11">
      <x:c r="A11" s="25" t="str">
        <x:v>Missing in Cash Ticket</x:v>
      </x:c>
      <x:c r="B11" s="27" t="n">
        <x:f>COUNTA('Missing in Cash Ticket'!A5:A5)</x:f>
        <x:v>1</x:v>
      </x:c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>
      <x:c r="A13" s="28" t="str">
        <x:v>Finding</x:v>
      </x:c>
      <x:c r="B13" s="28" t="str">
        <x:v>Details</x:v>
      </x:c>
      <x:c r="C13" s="28" t="str">
        <x:v>Amount</x:v>
      </x:c>
      <x:c r="D13" s="28" t="str">
        <x:v>Cash Ticket Date</x:v>
      </x:c>
      <x:c r="E13" s="28" t="str">
        <x:v>Report Date</x:v>
      </x:c>
      <x:c r="F13" s="28" t="str">
        <x:v>Recommended Action</x:v>
      </x:c>
      <x:c r="G13" s="22"/>
      <x:c r="H13" s="22"/>
      <x:c r="I13" s="22"/>
      <x:c r="J13" s="22"/>
      <x:c r="K13" s="22"/>
    </x:row>
    <x:row r="14">
      <x:c r="A14" s="25" t="str">
        <x:v>Unmatched report row</x:v>
      </x:c>
      <x:c r="B14" s="25" t="str">
        <x:v>RD 1 appears in Report of Collection but has no matching Cash Ticket remitted entry.</x:v>
      </x:c>
      <x:c r="C14" s="26" t="n">
        <x:v>7010</x:v>
      </x:c>
      <x:c r="D14" s="25" t="str"/>
      <x:c r="E14" s="25" t="str">
        <x:v>2026-01-05</x:v>
      </x:c>
      <x:c r="F14" s="25" t="str">
        <x:v>Confirm source or add/fix Cash Ticket entry.</x:v>
      </x:c>
      <x:c r="G14" s="22"/>
      <x:c r="H14" s="22"/>
      <x:c r="I14" s="22"/>
      <x:c r="J14" s="22"/>
      <x:c r="K14" s="22"/>
    </x:row>
    <x:row r="15">
      <x:c r="A15" s="25" t="str">
        <x:v>Unmatched cash ticket row</x:v>
      </x:c>
      <x:c r="B15" s="25" t="str">
        <x:v>Cash Ticket has remitted total not listed in Report of Collection.</x:v>
      </x:c>
      <x:c r="C15" s="26" t="n">
        <x:v>8200</x:v>
      </x:c>
      <x:c r="D15" s="25" t="str">
        <x:v>2026-06-29</x:v>
      </x:c>
      <x:c r="E15" s="25" t="str"/>
      <x:c r="F15" s="25" t="str">
        <x:v>Confirm if this should be added to Report of Collection.</x:v>
      </x:c>
      <x:c r="G15" s="22"/>
      <x:c r="H15" s="22"/>
      <x:c r="I15" s="22"/>
      <x:c r="J15" s="22"/>
      <x:c r="K15" s="22"/>
    </x:row>
    <x:row r="16">
      <x:c r="A16" s="25" t="str">
        <x:v>Year typo risk</x:v>
      </x:c>
      <x:c r="B16" s="25" t="str">
        <x:v>Livestock row amount matches, but Report of Collection date is typed as 2022 instead of 2026.</x:v>
      </x:c>
      <x:c r="C16" s="26" t="n">
        <x:v>6580</x:v>
      </x:c>
      <x:c r="D16" s="25" t="str">
        <x:v>2026-06-18</x:v>
      </x:c>
      <x:c r="E16" s="25" t="str">
        <x:v>2022-06-18</x:v>
      </x:c>
      <x:c r="F16" s="25" t="str">
        <x:v>Correct year if this belongs to 2026.</x:v>
      </x:c>
      <x:c r="G16" s="22"/>
      <x:c r="H16" s="22"/>
      <x:c r="I16" s="22"/>
      <x:c r="J16" s="22"/>
      <x:c r="K16" s="22"/>
    </x:row>
    <x:row r="17">
      <x:c r="A17" s="25" t="str">
        <x:v>Net difference</x:v>
      </x:c>
      <x:c r="B17" s="25" t="str">
        <x:v>Current cash total is higher than report total.</x:v>
      </x:c>
      <x:c r="C17" s="26" t="n">
        <x:v>1190</x:v>
      </x:c>
      <x:c r="D17" s="25" t="str"/>
      <x:c r="E17" s="25" t="str"/>
      <x:c r="F17" s="25" t="str">
        <x:v>Resolve unmatched 7,010 and 8,200 entries.</x:v>
      </x:c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9.25" hidden="0" customWidth="1"/>
    <x:col min="3" max="3" width="16.25" hidden="0" customWidth="1"/>
    <x:col min="4" max="4" width="14.75" hidden="0" customWidth="1"/>
    <x:col min="5" max="5" width="8.380000114440918" hidden="0" customWidth="1"/>
    <x:col min="6" max="6" width="11.5" hidden="0" customWidth="1"/>
    <x:col min="7" max="7" width="7.75" hidden="0" customWidth="1"/>
  </x:cols>
  <x:sheetData>
    <x:row r="1">
      <x:c r="A1" s="21" t="str">
        <x:v>Matched Entries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>
      <x:c r="A2" s="23" t="str">
        <x:v>Rows with the same date and amount in both workbooks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>
      <x:c r="A4" s="29" t="str">
        <x:v>Date</x:v>
      </x:c>
      <x:c r="B4" s="29" t="str">
        <x:v>Amount</x:v>
      </x:c>
      <x:c r="C4" s="29" t="str">
        <x:v>Cash Ticket Sheet</x:v>
      </x:c>
      <x:c r="D4" s="29" t="str">
        <x:v>Cash Ticket Cell</x:v>
      </x:c>
      <x:c r="E4" s="29" t="str">
        <x:v>RD No.</x:v>
      </x:c>
      <x:c r="F4" s="29" t="str">
        <x:v>Report Cell</x:v>
      </x:c>
      <x:c r="G4" s="29" t="str">
        <x:v>Status</x:v>
      </x:c>
      <x:c r="H4" s="22"/>
      <x:c r="I4" s="22"/>
      <x:c r="J4" s="22"/>
      <x:c r="K4" s="22"/>
    </x:row>
    <x:row r="5">
      <x:c r="A5" s="25" t="str">
        <x:v>2026-01-09</x:v>
      </x:c>
      <x:c r="B5" s="30" t="n">
        <x:v>37850</x:v>
      </x:c>
      <x:c r="C5" s="25" t="str">
        <x:v>Jan-Feb 2026</x:v>
      </x:c>
      <x:c r="D5" s="25" t="str">
        <x:v>C17/C19</x:v>
      </x:c>
      <x:c r="E5" s="25" t="n">
        <x:v>2</x:v>
      </x:c>
      <x:c r="F5" s="25" t="str">
        <x:v>2026!A3:C3</x:v>
      </x:c>
      <x:c r="G5" s="25" t="str">
        <x:v>Matched</x:v>
      </x:c>
      <x:c r="H5" s="22"/>
      <x:c r="I5" s="22"/>
      <x:c r="J5" s="22"/>
      <x:c r="K5" s="22"/>
    </x:row>
    <x:row r="6">
      <x:c r="A6" s="25" t="str">
        <x:v>2026-01-16</x:v>
      </x:c>
      <x:c r="B6" s="30" t="n">
        <x:v>28780</x:v>
      </x:c>
      <x:c r="C6" s="25" t="str">
        <x:v>Jan-Feb 2026</x:v>
      </x:c>
      <x:c r="D6" s="25" t="str">
        <x:v>D17/D19</x:v>
      </x:c>
      <x:c r="E6" s="25" t="n">
        <x:v>3</x:v>
      </x:c>
      <x:c r="F6" s="25" t="str">
        <x:v>2026!A4:C4</x:v>
      </x:c>
      <x:c r="G6" s="25" t="str">
        <x:v>Matched</x:v>
      </x:c>
      <x:c r="H6" s="22"/>
      <x:c r="I6" s="22"/>
      <x:c r="J6" s="22"/>
      <x:c r="K6" s="22"/>
    </x:row>
    <x:row r="7">
      <x:c r="A7" s="25" t="str">
        <x:v>2026-01-30</x:v>
      </x:c>
      <x:c r="B7" s="30" t="n">
        <x:v>29510</x:v>
      </x:c>
      <x:c r="C7" s="25" t="str">
        <x:v>Jan-Feb 2026</x:v>
      </x:c>
      <x:c r="D7" s="25" t="str">
        <x:v>F17/F19</x:v>
      </x:c>
      <x:c r="E7" s="25" t="n">
        <x:v>5</x:v>
      </x:c>
      <x:c r="F7" s="25" t="str">
        <x:v>2026!A6:C6</x:v>
      </x:c>
      <x:c r="G7" s="25" t="str">
        <x:v>Matched</x:v>
      </x:c>
      <x:c r="H7" s="22"/>
      <x:c r="I7" s="22"/>
      <x:c r="J7" s="22"/>
      <x:c r="K7" s="22"/>
    </x:row>
    <x:row r="8">
      <x:c r="A8" s="25" t="str">
        <x:v>2026-02-09</x:v>
      </x:c>
      <x:c r="B8" s="30" t="n">
        <x:v>13660</x:v>
      </x:c>
      <x:c r="C8" s="25" t="str">
        <x:v>Jan-Feb 2026</x:v>
      </x:c>
      <x:c r="D8" s="25" t="str">
        <x:v>G17/G19</x:v>
      </x:c>
      <x:c r="E8" s="25" t="n">
        <x:v>6</x:v>
      </x:c>
      <x:c r="F8" s="25" t="str">
        <x:v>2026!A7:C7</x:v>
      </x:c>
      <x:c r="G8" s="25" t="str">
        <x:v>Matched</x:v>
      </x:c>
      <x:c r="H8" s="22"/>
      <x:c r="I8" s="22"/>
      <x:c r="J8" s="22"/>
      <x:c r="K8" s="22"/>
    </x:row>
    <x:row r="9">
      <x:c r="A9" s="25" t="str">
        <x:v>2026-03-06</x:v>
      </x:c>
      <x:c r="B9" s="30" t="n">
        <x:v>25480</x:v>
      </x:c>
      <x:c r="C9" s="25" t="str">
        <x:v>Mar-Apr 2026</x:v>
      </x:c>
      <x:c r="D9" s="25" t="str">
        <x:v>C17/C19</x:v>
      </x:c>
      <x:c r="E9" s="25" t="n">
        <x:v>11</x:v>
      </x:c>
      <x:c r="F9" s="25" t="str">
        <x:v>2026!A12:C12</x:v>
      </x:c>
      <x:c r="G9" s="25" t="str">
        <x:v>Matched</x:v>
      </x:c>
      <x:c r="H9" s="22"/>
      <x:c r="I9" s="22"/>
      <x:c r="J9" s="22"/>
      <x:c r="K9" s="22"/>
    </x:row>
    <x:row r="10">
      <x:c r="A10" s="25" t="str">
        <x:v>2026-03-19</x:v>
      </x:c>
      <x:c r="B10" s="30" t="n">
        <x:v>17810</x:v>
      </x:c>
      <x:c r="C10" s="25" t="str">
        <x:v>Mar-Apr 2026</x:v>
      </x:c>
      <x:c r="D10" s="25" t="str">
        <x:v>E17/E19</x:v>
      </x:c>
      <x:c r="E10" s="25" t="n">
        <x:v>13</x:v>
      </x:c>
      <x:c r="F10" s="25" t="str">
        <x:v>2026!A14:C14</x:v>
      </x:c>
      <x:c r="G10" s="25" t="str">
        <x:v>Matched</x:v>
      </x:c>
      <x:c r="H10" s="22"/>
      <x:c r="I10" s="22"/>
      <x:c r="J10" s="22"/>
      <x:c r="K10" s="22"/>
    </x:row>
    <x:row r="11">
      <x:c r="A11" s="25" t="str">
        <x:v>2026-03-30</x:v>
      </x:c>
      <x:c r="B11" s="30" t="n">
        <x:v>23490</x:v>
      </x:c>
      <x:c r="C11" s="25" t="str">
        <x:v>Mar-Apr 2026</x:v>
      </x:c>
      <x:c r="D11" s="25" t="str">
        <x:v>F17/F19</x:v>
      </x:c>
      <x:c r="E11" s="25" t="n">
        <x:v>14</x:v>
      </x:c>
      <x:c r="F11" s="25" t="str">
        <x:v>2026!A15:C15</x:v>
      </x:c>
      <x:c r="G11" s="25" t="str">
        <x:v>Matched</x:v>
      </x:c>
      <x:c r="H11" s="22"/>
      <x:c r="I11" s="22"/>
      <x:c r="J11" s="22"/>
      <x:c r="K11" s="22"/>
    </x:row>
    <x:row r="12">
      <x:c r="A12" s="25" t="str">
        <x:v>2026-04-01</x:v>
      </x:c>
      <x:c r="B12" s="30" t="n">
        <x:v>19630</x:v>
      </x:c>
      <x:c r="C12" s="25" t="str">
        <x:v>Mar-Apr 2026</x:v>
      </x:c>
      <x:c r="D12" s="25" t="str">
        <x:v>G17/G19</x:v>
      </x:c>
      <x:c r="E12" s="25" t="n">
        <x:v>15</x:v>
      </x:c>
      <x:c r="F12" s="25" t="str">
        <x:v>2026!A16:C16</x:v>
      </x:c>
      <x:c r="G12" s="25" t="str">
        <x:v>Matched</x:v>
      </x:c>
      <x:c r="H12" s="22"/>
      <x:c r="I12" s="22"/>
      <x:c r="J12" s="22"/>
      <x:c r="K12" s="22"/>
    </x:row>
    <x:row r="13">
      <x:c r="A13" s="25" t="str">
        <x:v>2026-04-10</x:v>
      </x:c>
      <x:c r="B13" s="30" t="n">
        <x:v>23970</x:v>
      </x:c>
      <x:c r="C13" s="25" t="str">
        <x:v>Mar-Apr 2026</x:v>
      </x:c>
      <x:c r="D13" s="25" t="str">
        <x:v>H17/H19</x:v>
      </x:c>
      <x:c r="E13" s="25" t="n">
        <x:v>16</x:v>
      </x:c>
      <x:c r="F13" s="25" t="str">
        <x:v>2026!A17:C17</x:v>
      </x:c>
      <x:c r="G13" s="25" t="str">
        <x:v>Matched</x:v>
      </x:c>
      <x:c r="H13" s="22"/>
      <x:c r="I13" s="22"/>
      <x:c r="J13" s="22"/>
      <x:c r="K13" s="22"/>
    </x:row>
    <x:row r="14">
      <x:c r="A14" s="25" t="str">
        <x:v>2026-04-20</x:v>
      </x:c>
      <x:c r="B14" s="30" t="n">
        <x:v>23970</x:v>
      </x:c>
      <x:c r="C14" s="25" t="str">
        <x:v>Mar-Apr 2026</x:v>
      </x:c>
      <x:c r="D14" s="25" t="str">
        <x:v>I17/I19</x:v>
      </x:c>
      <x:c r="E14" s="25" t="n">
        <x:v>17</x:v>
      </x:c>
      <x:c r="F14" s="25" t="str">
        <x:v>2026!A18:C18</x:v>
      </x:c>
      <x:c r="G14" s="25" t="str">
        <x:v>Matched</x:v>
      </x:c>
      <x:c r="H14" s="22"/>
      <x:c r="I14" s="22"/>
      <x:c r="J14" s="22"/>
      <x:c r="K14" s="22"/>
    </x:row>
    <x:row r="15">
      <x:c r="A15" s="25" t="str">
        <x:v>2026-04-30</x:v>
      </x:c>
      <x:c r="B15" s="30" t="n">
        <x:v>18590</x:v>
      </x:c>
      <x:c r="C15" s="25" t="str">
        <x:v>Mar-Apr 2026</x:v>
      </x:c>
      <x:c r="D15" s="25" t="str">
        <x:v>J17/J19</x:v>
      </x:c>
      <x:c r="E15" s="25" t="n">
        <x:v>18</x:v>
      </x:c>
      <x:c r="F15" s="25" t="str">
        <x:v>2026!A19:C19</x:v>
      </x:c>
      <x:c r="G15" s="25" t="str">
        <x:v>Matched</x:v>
      </x:c>
      <x:c r="H15" s="22"/>
      <x:c r="I15" s="22"/>
      <x:c r="J15" s="22"/>
      <x:c r="K15" s="22"/>
    </x:row>
    <x:row r="16">
      <x:c r="A16" s="25" t="str">
        <x:v>2026-05-14</x:v>
      </x:c>
      <x:c r="B16" s="30" t="n">
        <x:v>22990</x:v>
      </x:c>
      <x:c r="C16" s="25" t="str">
        <x:v>Mar-Apr 2026</x:v>
      </x:c>
      <x:c r="D16" s="25" t="str">
        <x:v>K17/K19</x:v>
      </x:c>
      <x:c r="E16" s="25" t="n">
        <x:v>19</x:v>
      </x:c>
      <x:c r="F16" s="25" t="str">
        <x:v>2026!A20:C20</x:v>
      </x:c>
      <x:c r="G16" s="25" t="str">
        <x:v>Matched</x:v>
      </x:c>
      <x:c r="H16" s="22"/>
      <x:c r="I16" s="22"/>
      <x:c r="J16" s="22"/>
      <x:c r="K16" s="22"/>
    </x:row>
    <x:row r="17">
      <x:c r="A17" s="25" t="str">
        <x:v>2026-05-21</x:v>
      </x:c>
      <x:c r="B17" s="30" t="n">
        <x:v>20180</x:v>
      </x:c>
      <x:c r="C17" s="25" t="str">
        <x:v>May-June 2026</x:v>
      </x:c>
      <x:c r="D17" s="25" t="str">
        <x:v>C17/C19</x:v>
      </x:c>
      <x:c r="E17" s="25" t="n">
        <x:v>20</x:v>
      </x:c>
      <x:c r="F17" s="25" t="str">
        <x:v>2026!A21:C21</x:v>
      </x:c>
      <x:c r="G17" s="25" t="str">
        <x:v>Matched</x:v>
      </x:c>
      <x:c r="H17" s="22"/>
      <x:c r="I17" s="22"/>
      <x:c r="J17" s="22"/>
      <x:c r="K17" s="22"/>
    </x:row>
    <x:row r="18">
      <x:c r="A18" s="25" t="str">
        <x:v>2026-06-04</x:v>
      </x:c>
      <x:c r="B18" s="30" t="n">
        <x:v>21140</x:v>
      </x:c>
      <x:c r="C18" s="25" t="str">
        <x:v>May-June 2026</x:v>
      </x:c>
      <x:c r="D18" s="25" t="str">
        <x:v>D17/D19</x:v>
      </x:c>
      <x:c r="E18" s="25" t="n">
        <x:v>21</x:v>
      </x:c>
      <x:c r="F18" s="25" t="str">
        <x:v>2026!A22:C22</x:v>
      </x:c>
      <x:c r="G18" s="25" t="str">
        <x:v>Matched</x:v>
      </x:c>
      <x:c r="H18" s="22"/>
      <x:c r="I18" s="22"/>
      <x:c r="J18" s="22"/>
      <x:c r="K18" s="22"/>
    </x:row>
    <x:row r="19">
      <x:c r="A19" s="25" t="str">
        <x:v>2026-06-16</x:v>
      </x:c>
      <x:c r="B19" s="30" t="n">
        <x:v>19320</x:v>
      </x:c>
      <x:c r="C19" s="25" t="str">
        <x:v>May-June 2026</x:v>
      </x:c>
      <x:c r="D19" s="25" t="str">
        <x:v>E17/E19</x:v>
      </x:c>
      <x:c r="E19" s="25" t="n">
        <x:v>22</x:v>
      </x:c>
      <x:c r="F19" s="25" t="str">
        <x:v>2026!A23:C23</x:v>
      </x:c>
      <x:c r="G19" s="25" t="str">
        <x:v>Matched</x:v>
      </x:c>
      <x:c r="H19" s="22"/>
      <x:c r="I19" s="22"/>
      <x:c r="J19" s="22"/>
      <x:c r="K19" s="22"/>
    </x:row>
    <x:row r="20">
      <x:c r="A20" s="25" t="str">
        <x:v>2026-02-27</x:v>
      </x:c>
      <x:c r="B20" s="30" t="n">
        <x:v>11400</x:v>
      </x:c>
      <x:c r="C20" s="25" t="str">
        <x:v>Jan-Feb 2026</x:v>
      </x:c>
      <x:c r="D20" s="25" t="str">
        <x:v>J25/H21</x:v>
      </x:c>
      <x:c r="E20" s="25" t="n">
        <x:v>10</x:v>
      </x:c>
      <x:c r="F20" s="25" t="str">
        <x:v>2026!A11:C11</x:v>
      </x:c>
      <x:c r="G20" s="25" t="str">
        <x:v>Matched</x:v>
      </x:c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edac77633aa4d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5" hidden="0" customWidth="1"/>
    <x:col min="2" max="2" width="15.630000114440918" hidden="0" customWidth="1"/>
    <x:col min="3" max="3" width="12.25" hidden="0" customWidth="1"/>
    <x:col min="4" max="4" width="16.25" hidden="0" customWidth="1"/>
    <x:col min="5" max="5" width="14.75" hidden="0" customWidth="1"/>
    <x:col min="6" max="6" width="8.380000114440918" hidden="0" customWidth="1"/>
    <x:col min="7" max="7" width="11.5" hidden="0" customWidth="1"/>
    <x:col min="8" max="8" width="21.8799991607666" hidden="0" customWidth="1"/>
  </x:cols>
  <x:sheetData>
    <x:row r="1">
      <x:c r="A1" s="21" t="str">
        <x:v>Date Issues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>
      <x:c r="A2" s="23" t="str">
        <x:v>Same amount found, but Cash Ticket date and Report date differ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>
      <x:c r="A4" s="29" t="str">
        <x:v>Amount</x:v>
      </x:c>
      <x:c r="B4" s="29" t="str">
        <x:v>Cash Ticket Date</x:v>
      </x:c>
      <x:c r="C4" s="29" t="str">
        <x:v>Report Date</x:v>
      </x:c>
      <x:c r="D4" s="29" t="str">
        <x:v>Cash Ticket Sheet</x:v>
      </x:c>
      <x:c r="E4" s="29" t="str">
        <x:v>Cash Ticket Cell</x:v>
      </x:c>
      <x:c r="F4" s="29" t="str">
        <x:v>RD No.</x:v>
      </x:c>
      <x:c r="G4" s="29" t="str">
        <x:v>Report Cell</x:v>
      </x:c>
      <x:c r="H4" s="29" t="str">
        <x:v>Issue</x:v>
      </x:c>
      <x:c r="I4" s="22"/>
      <x:c r="J4" s="22"/>
      <x:c r="K4" s="22"/>
    </x:row>
    <x:row r="5">
      <x:c r="A5" s="31" t="n">
        <x:v>18710</x:v>
      </x:c>
      <x:c r="B5" s="32" t="str">
        <x:v>2025-01-26</x:v>
      </x:c>
      <x:c r="C5" s="32" t="str">
        <x:v>2026-01-26</x:v>
      </x:c>
      <x:c r="D5" s="32" t="str">
        <x:v>Jan-Feb 2026</x:v>
      </x:c>
      <x:c r="E5" s="32" t="str">
        <x:v>E17/E19</x:v>
      </x:c>
      <x:c r="F5" s="32" t="n">
        <x:v>4</x:v>
      </x:c>
      <x:c r="G5" s="32" t="str">
        <x:v>2026!A5:C5</x:v>
      </x:c>
      <x:c r="H5" s="32" t="str">
        <x:v>Same amount, different date</x:v>
      </x:c>
      <x:c r="I5" s="22"/>
      <x:c r="J5" s="22"/>
      <x:c r="K5" s="22"/>
    </x:row>
    <x:row r="6">
      <x:c r="A6" s="31" t="n">
        <x:v>16700</x:v>
      </x:c>
      <x:c r="B6" s="32" t="str">
        <x:v>2023-02-13</x:v>
      </x:c>
      <x:c r="C6" s="32" t="str">
        <x:v>2026-02-13</x:v>
      </x:c>
      <x:c r="D6" s="32" t="str">
        <x:v>Jan-Feb 2026</x:v>
      </x:c>
      <x:c r="E6" s="32" t="str">
        <x:v>H17/H19</x:v>
      </x:c>
      <x:c r="F6" s="32" t="n">
        <x:v>7</x:v>
      </x:c>
      <x:c r="G6" s="32" t="str">
        <x:v>2026!A8:C8</x:v>
      </x:c>
      <x:c r="H6" s="32" t="str">
        <x:v>Same amount, different date</x:v>
      </x:c>
      <x:c r="I6" s="22"/>
      <x:c r="J6" s="22"/>
      <x:c r="K6" s="22"/>
    </x:row>
    <x:row r="7">
      <x:c r="A7" s="31" t="n">
        <x:v>29530</x:v>
      </x:c>
      <x:c r="B7" s="32" t="str">
        <x:v>2026-01-19</x:v>
      </x:c>
      <x:c r="C7" s="32" t="str">
        <x:v>2026-02-19</x:v>
      </x:c>
      <x:c r="D7" s="32" t="str">
        <x:v>Jan-Feb 2026</x:v>
      </x:c>
      <x:c r="E7" s="32" t="str">
        <x:v>I17/I19</x:v>
      </x:c>
      <x:c r="F7" s="32" t="n">
        <x:v>8</x:v>
      </x:c>
      <x:c r="G7" s="32" t="str">
        <x:v>2026!A9:C9</x:v>
      </x:c>
      <x:c r="H7" s="32" t="str">
        <x:v>Same amount, different date</x:v>
      </x:c>
      <x:c r="I7" s="22"/>
      <x:c r="J7" s="22"/>
      <x:c r="K7" s="22"/>
    </x:row>
    <x:row r="8">
      <x:c r="A8" s="31" t="n">
        <x:v>31190</x:v>
      </x:c>
      <x:c r="B8" s="32" t="str">
        <x:v>2026-01-26</x:v>
      </x:c>
      <x:c r="C8" s="32" t="str">
        <x:v>2026-02-26</x:v>
      </x:c>
      <x:c r="D8" s="32" t="str">
        <x:v>Jan-Feb 2026</x:v>
      </x:c>
      <x:c r="E8" s="32" t="str">
        <x:v>J17/J19</x:v>
      </x:c>
      <x:c r="F8" s="32" t="n">
        <x:v>9</x:v>
      </x:c>
      <x:c r="G8" s="32" t="str">
        <x:v>2026!A10:C10</x:v>
      </x:c>
      <x:c r="H8" s="32" t="str">
        <x:v>Same amount, different date</x:v>
      </x:c>
      <x:c r="I8" s="22"/>
      <x:c r="J8" s="22"/>
      <x:c r="K8" s="22"/>
    </x:row>
    <x:row r="9">
      <x:c r="A9" s="31" t="n">
        <x:v>23530</x:v>
      </x:c>
      <x:c r="B9" s="32" t="str">
        <x:v>2026-03-13</x:v>
      </x:c>
      <x:c r="C9" s="32" t="str">
        <x:v>2026-03-12</x:v>
      </x:c>
      <x:c r="D9" s="32" t="str">
        <x:v>Mar-Apr 2026</x:v>
      </x:c>
      <x:c r="E9" s="32" t="str">
        <x:v>D17/D19</x:v>
      </x:c>
      <x:c r="F9" s="32" t="n">
        <x:v>12</x:v>
      </x:c>
      <x:c r="G9" s="32" t="str">
        <x:v>2026!A13:C13</x:v>
      </x:c>
      <x:c r="H9" s="32" t="str">
        <x:v>Same amount, different date</x:v>
      </x:c>
      <x:c r="I9" s="22"/>
      <x:c r="J9" s="22"/>
      <x:c r="K9" s="22"/>
    </x:row>
    <x:row r="10">
      <x:c r="A10" s="31" t="n">
        <x:v>6580</x:v>
      </x:c>
      <x:c r="B10" s="32" t="str">
        <x:v>2026-06-18</x:v>
      </x:c>
      <x:c r="C10" s="32" t="str">
        <x:v>2022-06-18</x:v>
      </x:c>
      <x:c r="D10" s="32" t="str">
        <x:v>May-June 2026</x:v>
      </x:c>
      <x:c r="E10" s="32" t="str">
        <x:v>C31/C33</x:v>
      </x:c>
      <x:c r="F10" s="32" t="n">
        <x:v>23</x:v>
      </x:c>
      <x:c r="G10" s="32" t="str">
        <x:v>2026!A24:C24</x:v>
      </x:c>
      <x:c r="H10" s="32" t="str">
        <x:v>Same amount, different date</x:v>
      </x:c>
      <x:c r="I10" s="22"/>
      <x:c r="J10" s="22"/>
      <x:c r="K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23fa00aa09d4d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9.130000114440918" hidden="0" customWidth="1"/>
    <x:col min="3" max="3" width="9.25" hidden="0" customWidth="1"/>
    <x:col min="4" max="4" width="14.75" hidden="0" customWidth="1"/>
    <x:col min="5" max="5" width="11.380000114440918" hidden="0" customWidth="1"/>
    <x:col min="6" max="6" width="51.380001068115234" hidden="0" customWidth="1"/>
  </x:cols>
  <x:sheetData>
    <x:row r="1">
      <x:c r="A1" s="21" t="str">
        <x:v>Missing in Report of Collection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>
      <x:c r="A2" s="23" t="str">
        <x:v>Cash Ticket entries with no matching Report of Collection row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>
      <x:c r="A4" s="29" t="str">
        <x:v>Cash Ticket Sheet</x:v>
      </x:c>
      <x:c r="B4" s="29" t="str">
        <x:v>Date</x:v>
      </x:c>
      <x:c r="C4" s="29" t="str">
        <x:v>Amount</x:v>
      </x:c>
      <x:c r="D4" s="29" t="str">
        <x:v>Cash Ticket Cell</x:v>
      </x:c>
      <x:c r="E4" s="29" t="str">
        <x:v>Type</x:v>
      </x:c>
      <x:c r="F4" s="29" t="str">
        <x:v>Note</x:v>
      </x:c>
      <x:c r="G4" s="22"/>
      <x:c r="H4" s="22"/>
      <x:c r="I4" s="22"/>
      <x:c r="J4" s="22"/>
      <x:c r="K4" s="22"/>
    </x:row>
    <x:row r="5">
      <x:c r="A5" s="33" t="str">
        <x:v>May-June 2026</x:v>
      </x:c>
      <x:c r="B5" s="33" t="str">
        <x:v>2026-06-29</x:v>
      </x:c>
      <x:c r="C5" s="34" t="n">
        <x:v>8200</x:v>
      </x:c>
      <x:c r="D5" s="33" t="str">
        <x:v>F17/F19</x:v>
      </x:c>
      <x:c r="E5" s="33" t="str">
        <x:v>Remitted Total</x:v>
      </x:c>
      <x:c r="F5" s="33" t="str">
        <x:v>Cash Ticket has this entry; Report of Collection has no matching row.</x:v>
      </x:c>
      <x:c r="G5" s="22"/>
      <x:c r="H5" s="22"/>
      <x:c r="I5" s="22"/>
      <x:c r="J5" s="22"/>
      <x:c r="K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42034cbd90d41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12.25" hidden="0" customWidth="1"/>
    <x:col min="3" max="3" width="9.25" hidden="0" customWidth="1"/>
    <x:col min="4" max="4" width="11.5" hidden="0" customWidth="1"/>
    <x:col min="5" max="5" width="58.25" hidden="0" customWidth="1"/>
  </x:cols>
  <x:sheetData>
    <x:row r="1">
      <x:c r="A1" s="21" t="str">
        <x:v>Missing in Cash Ticket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>
      <x:c r="A2" s="23" t="str">
        <x:v>Report of Collection rows with no matching Cash Ticket remitted entry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>
      <x:c r="A4" s="29" t="str">
        <x:v>RD No.</x:v>
      </x:c>
      <x:c r="B4" s="29" t="str">
        <x:v>Report Date</x:v>
      </x:c>
      <x:c r="C4" s="29" t="str">
        <x:v>Amount</x:v>
      </x:c>
      <x:c r="D4" s="29" t="str">
        <x:v>Report Cell</x:v>
      </x:c>
      <x:c r="E4" s="29" t="str">
        <x:v>Note</x:v>
      </x:c>
      <x:c r="F4" s="22"/>
      <x:c r="G4" s="22"/>
      <x:c r="H4" s="22"/>
      <x:c r="I4" s="22"/>
      <x:c r="J4" s="22"/>
      <x:c r="K4" s="22"/>
    </x:row>
    <x:row r="5">
      <x:c r="A5" s="33" t="n">
        <x:v>1</x:v>
      </x:c>
      <x:c r="B5" s="33" t="str">
        <x:v>2026-01-05</x:v>
      </x:c>
      <x:c r="C5" s="34" t="n">
        <x:v>7010</x:v>
      </x:c>
      <x:c r="D5" s="33" t="str">
        <x:v>2026!A2:C2</x:v>
      </x:c>
      <x:c r="E5" s="33" t="str">
        <x:v>Report of Collection has this row; Cash Ticket has no matching remitted entry.</x:v>
      </x:c>
      <x:c r="F5" s="22"/>
      <x:c r="G5" s="22"/>
      <x:c r="H5" s="22"/>
      <x:c r="I5" s="22"/>
      <x:c r="J5" s="22"/>
      <x:c r="K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efea170f7b046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9.130000114440918" hidden="0" customWidth="1"/>
    <x:col min="3" max="3" width="9.25" hidden="0" customWidth="1"/>
    <x:col min="4" max="4" width="11.380000114440918" hidden="0" customWidth="1"/>
    <x:col min="5" max="5" width="11.380000114440918" hidden="0" customWidth="1"/>
  </x:cols>
  <x:sheetData>
    <x:row r="1">
      <x:c r="A1" s="21" t="str">
        <x:v>Extracted Cash Ticket Entries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>
      <x:c r="A2" s="23" t="str">
        <x:v>Remitted totals extracted from CASH TICKET.xlsx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>
      <x:c r="A4" s="29" t="str">
        <x:v>Cash Ticket Sheet</x:v>
      </x:c>
      <x:c r="B4" s="29" t="str">
        <x:v>Date</x:v>
      </x:c>
      <x:c r="C4" s="29" t="str">
        <x:v>Amount</x:v>
      </x:c>
      <x:c r="D4" s="29" t="str">
        <x:v>Source Cell</x:v>
      </x:c>
      <x:c r="E4" s="29" t="str">
        <x:v>Type</x:v>
      </x:c>
      <x:c r="F4" s="22"/>
      <x:c r="G4" s="22"/>
      <x:c r="H4" s="22"/>
      <x:c r="I4" s="22"/>
      <x:c r="J4" s="22"/>
      <x:c r="K4" s="22"/>
    </x:row>
    <x:row r="5">
      <x:c r="A5" s="25" t="str">
        <x:v>Jan-Feb 2026</x:v>
      </x:c>
      <x:c r="B5" s="25" t="str">
        <x:v>2026-01-09</x:v>
      </x:c>
      <x:c r="C5" s="30" t="n">
        <x:v>37850</x:v>
      </x:c>
      <x:c r="D5" s="25" t="str">
        <x:v>C17/C19</x:v>
      </x:c>
      <x:c r="E5" s="25" t="str">
        <x:v>Remitted Total</x:v>
      </x:c>
      <x:c r="F5" s="22"/>
      <x:c r="G5" s="22"/>
      <x:c r="H5" s="22"/>
      <x:c r="I5" s="22"/>
      <x:c r="J5" s="22"/>
      <x:c r="K5" s="22"/>
    </x:row>
    <x:row r="6">
      <x:c r="A6" s="25" t="str">
        <x:v>Jan-Feb 2026</x:v>
      </x:c>
      <x:c r="B6" s="25" t="str">
        <x:v>2026-01-16</x:v>
      </x:c>
      <x:c r="C6" s="30" t="n">
        <x:v>28780</x:v>
      </x:c>
      <x:c r="D6" s="25" t="str">
        <x:v>D17/D19</x:v>
      </x:c>
      <x:c r="E6" s="25" t="str">
        <x:v>Remitted Total</x:v>
      </x:c>
      <x:c r="F6" s="22"/>
      <x:c r="G6" s="22"/>
      <x:c r="H6" s="22"/>
      <x:c r="I6" s="22"/>
      <x:c r="J6" s="22"/>
      <x:c r="K6" s="22"/>
    </x:row>
    <x:row r="7">
      <x:c r="A7" s="25" t="str">
        <x:v>Jan-Feb 2026</x:v>
      </x:c>
      <x:c r="B7" s="25" t="str">
        <x:v>2025-01-26</x:v>
      </x:c>
      <x:c r="C7" s="30" t="n">
        <x:v>18710</x:v>
      </x:c>
      <x:c r="D7" s="25" t="str">
        <x:v>E17/E19</x:v>
      </x:c>
      <x:c r="E7" s="25" t="str">
        <x:v>Remitted Total</x:v>
      </x:c>
      <x:c r="F7" s="22"/>
      <x:c r="G7" s="22"/>
      <x:c r="H7" s="22"/>
      <x:c r="I7" s="22"/>
      <x:c r="J7" s="22"/>
      <x:c r="K7" s="22"/>
    </x:row>
    <x:row r="8">
      <x:c r="A8" s="25" t="str">
        <x:v>Jan-Feb 2026</x:v>
      </x:c>
      <x:c r="B8" s="25" t="str">
        <x:v>2026-01-30</x:v>
      </x:c>
      <x:c r="C8" s="30" t="n">
        <x:v>29510</x:v>
      </x:c>
      <x:c r="D8" s="25" t="str">
        <x:v>F17/F19</x:v>
      </x:c>
      <x:c r="E8" s="25" t="str">
        <x:v>Remitted Total</x:v>
      </x:c>
      <x:c r="F8" s="22"/>
      <x:c r="G8" s="22"/>
      <x:c r="H8" s="22"/>
      <x:c r="I8" s="22"/>
      <x:c r="J8" s="22"/>
      <x:c r="K8" s="22"/>
    </x:row>
    <x:row r="9">
      <x:c r="A9" s="25" t="str">
        <x:v>Jan-Feb 2026</x:v>
      </x:c>
      <x:c r="B9" s="25" t="str">
        <x:v>2026-02-09</x:v>
      </x:c>
      <x:c r="C9" s="30" t="n">
        <x:v>13660</x:v>
      </x:c>
      <x:c r="D9" s="25" t="str">
        <x:v>G17/G19</x:v>
      </x:c>
      <x:c r="E9" s="25" t="str">
        <x:v>Remitted Total</x:v>
      </x:c>
      <x:c r="F9" s="22"/>
      <x:c r="G9" s="22"/>
      <x:c r="H9" s="22"/>
      <x:c r="I9" s="22"/>
      <x:c r="J9" s="22"/>
      <x:c r="K9" s="22"/>
    </x:row>
    <x:row r="10">
      <x:c r="A10" s="25" t="str">
        <x:v>Jan-Feb 2026</x:v>
      </x:c>
      <x:c r="B10" s="25" t="str">
        <x:v>2023-02-13</x:v>
      </x:c>
      <x:c r="C10" s="30" t="n">
        <x:v>16700</x:v>
      </x:c>
      <x:c r="D10" s="25" t="str">
        <x:v>H17/H19</x:v>
      </x:c>
      <x:c r="E10" s="25" t="str">
        <x:v>Remitted Total</x:v>
      </x:c>
      <x:c r="F10" s="22"/>
      <x:c r="G10" s="22"/>
      <x:c r="H10" s="22"/>
      <x:c r="I10" s="22"/>
      <x:c r="J10" s="22"/>
      <x:c r="K10" s="22"/>
    </x:row>
    <x:row r="11">
      <x:c r="A11" s="25" t="str">
        <x:v>Jan-Feb 2026</x:v>
      </x:c>
      <x:c r="B11" s="25" t="str">
        <x:v>2026-01-19</x:v>
      </x:c>
      <x:c r="C11" s="30" t="n">
        <x:v>29530</x:v>
      </x:c>
      <x:c r="D11" s="25" t="str">
        <x:v>I17/I19</x:v>
      </x:c>
      <x:c r="E11" s="25" t="str">
        <x:v>Remitted Total</x:v>
      </x:c>
      <x:c r="F11" s="22"/>
      <x:c r="G11" s="22"/>
      <x:c r="H11" s="22"/>
      <x:c r="I11" s="22"/>
      <x:c r="J11" s="22"/>
      <x:c r="K11" s="22"/>
    </x:row>
    <x:row r="12">
      <x:c r="A12" s="25" t="str">
        <x:v>Jan-Feb 2026</x:v>
      </x:c>
      <x:c r="B12" s="25" t="str">
        <x:v>2026-01-26</x:v>
      </x:c>
      <x:c r="C12" s="30" t="n">
        <x:v>31190</x:v>
      </x:c>
      <x:c r="D12" s="25" t="str">
        <x:v>J17/J19</x:v>
      </x:c>
      <x:c r="E12" s="25" t="str">
        <x:v>Remitted Total</x:v>
      </x:c>
      <x:c r="F12" s="22"/>
      <x:c r="G12" s="22"/>
      <x:c r="H12" s="22"/>
      <x:c r="I12" s="22"/>
      <x:c r="J12" s="22"/>
      <x:c r="K12" s="22"/>
    </x:row>
    <x:row r="13">
      <x:c r="A13" s="25" t="str">
        <x:v>Mar-Apr 2026</x:v>
      </x:c>
      <x:c r="B13" s="25" t="str">
        <x:v>2026-03-06</x:v>
      </x:c>
      <x:c r="C13" s="30" t="n">
        <x:v>25480</x:v>
      </x:c>
      <x:c r="D13" s="25" t="str">
        <x:v>C17/C19</x:v>
      </x:c>
      <x:c r="E13" s="25" t="str">
        <x:v>Remitted Total</x:v>
      </x:c>
      <x:c r="F13" s="22"/>
      <x:c r="G13" s="22"/>
      <x:c r="H13" s="22"/>
      <x:c r="I13" s="22"/>
      <x:c r="J13" s="22"/>
      <x:c r="K13" s="22"/>
    </x:row>
    <x:row r="14">
      <x:c r="A14" s="25" t="str">
        <x:v>Mar-Apr 2026</x:v>
      </x:c>
      <x:c r="B14" s="25" t="str">
        <x:v>2026-03-13</x:v>
      </x:c>
      <x:c r="C14" s="30" t="n">
        <x:v>23530</x:v>
      </x:c>
      <x:c r="D14" s="25" t="str">
        <x:v>D17/D19</x:v>
      </x:c>
      <x:c r="E14" s="25" t="str">
        <x:v>Remitted Total</x:v>
      </x:c>
      <x:c r="F14" s="22"/>
      <x:c r="G14" s="22"/>
      <x:c r="H14" s="22"/>
      <x:c r="I14" s="22"/>
      <x:c r="J14" s="22"/>
      <x:c r="K14" s="22"/>
    </x:row>
    <x:row r="15">
      <x:c r="A15" s="25" t="str">
        <x:v>Mar-Apr 2026</x:v>
      </x:c>
      <x:c r="B15" s="25" t="str">
        <x:v>2026-03-19</x:v>
      </x:c>
      <x:c r="C15" s="30" t="n">
        <x:v>17810</x:v>
      </x:c>
      <x:c r="D15" s="25" t="str">
        <x:v>E17/E19</x:v>
      </x:c>
      <x:c r="E15" s="25" t="str">
        <x:v>Remitted Total</x:v>
      </x:c>
      <x:c r="F15" s="22"/>
      <x:c r="G15" s="22"/>
      <x:c r="H15" s="22"/>
      <x:c r="I15" s="22"/>
      <x:c r="J15" s="22"/>
      <x:c r="K15" s="22"/>
    </x:row>
    <x:row r="16">
      <x:c r="A16" s="25" t="str">
        <x:v>Mar-Apr 2026</x:v>
      </x:c>
      <x:c r="B16" s="25" t="str">
        <x:v>2026-03-30</x:v>
      </x:c>
      <x:c r="C16" s="30" t="n">
        <x:v>23490</x:v>
      </x:c>
      <x:c r="D16" s="25" t="str">
        <x:v>F17/F19</x:v>
      </x:c>
      <x:c r="E16" s="25" t="str">
        <x:v>Remitted Total</x:v>
      </x:c>
      <x:c r="F16" s="22"/>
      <x:c r="G16" s="22"/>
      <x:c r="H16" s="22"/>
      <x:c r="I16" s="22"/>
      <x:c r="J16" s="22"/>
      <x:c r="K16" s="22"/>
    </x:row>
    <x:row r="17">
      <x:c r="A17" s="25" t="str">
        <x:v>Mar-Apr 2026</x:v>
      </x:c>
      <x:c r="B17" s="25" t="str">
        <x:v>2026-04-01</x:v>
      </x:c>
      <x:c r="C17" s="30" t="n">
        <x:v>19630</x:v>
      </x:c>
      <x:c r="D17" s="25" t="str">
        <x:v>G17/G19</x:v>
      </x:c>
      <x:c r="E17" s="25" t="str">
        <x:v>Remitted Total</x:v>
      </x:c>
      <x:c r="F17" s="22"/>
      <x:c r="G17" s="22"/>
      <x:c r="H17" s="22"/>
      <x:c r="I17" s="22"/>
      <x:c r="J17" s="22"/>
      <x:c r="K17" s="22"/>
    </x:row>
    <x:row r="18">
      <x:c r="A18" s="25" t="str">
        <x:v>Mar-Apr 2026</x:v>
      </x:c>
      <x:c r="B18" s="25" t="str">
        <x:v>2026-04-10</x:v>
      </x:c>
      <x:c r="C18" s="30" t="n">
        <x:v>23970</x:v>
      </x:c>
      <x:c r="D18" s="25" t="str">
        <x:v>H17/H19</x:v>
      </x:c>
      <x:c r="E18" s="25" t="str">
        <x:v>Remitted Total</x:v>
      </x:c>
      <x:c r="F18" s="22"/>
      <x:c r="G18" s="22"/>
      <x:c r="H18" s="22"/>
      <x:c r="I18" s="22"/>
      <x:c r="J18" s="22"/>
      <x:c r="K18" s="22"/>
    </x:row>
    <x:row r="19">
      <x:c r="A19" s="25" t="str">
        <x:v>Mar-Apr 2026</x:v>
      </x:c>
      <x:c r="B19" s="25" t="str">
        <x:v>2026-04-20</x:v>
      </x:c>
      <x:c r="C19" s="30" t="n">
        <x:v>23970</x:v>
      </x:c>
      <x:c r="D19" s="25" t="str">
        <x:v>I17/I19</x:v>
      </x:c>
      <x:c r="E19" s="25" t="str">
        <x:v>Remitted Total</x:v>
      </x:c>
      <x:c r="F19" s="22"/>
      <x:c r="G19" s="22"/>
      <x:c r="H19" s="22"/>
      <x:c r="I19" s="22"/>
      <x:c r="J19" s="22"/>
      <x:c r="K19" s="22"/>
    </x:row>
    <x:row r="20">
      <x:c r="A20" s="25" t="str">
        <x:v>Mar-Apr 2026</x:v>
      </x:c>
      <x:c r="B20" s="25" t="str">
        <x:v>2026-04-30</x:v>
      </x:c>
      <x:c r="C20" s="30" t="n">
        <x:v>18590</x:v>
      </x:c>
      <x:c r="D20" s="25" t="str">
        <x:v>J17/J19</x:v>
      </x:c>
      <x:c r="E20" s="25" t="str">
        <x:v>Remitted Total</x:v>
      </x:c>
      <x:c r="F20" s="22"/>
      <x:c r="G20" s="22"/>
      <x:c r="H20" s="22"/>
      <x:c r="I20" s="22"/>
      <x:c r="J20" s="22"/>
      <x:c r="K20" s="22"/>
    </x:row>
    <x:row r="21">
      <x:c r="A21" s="25" t="str">
        <x:v>Mar-Apr 2026</x:v>
      </x:c>
      <x:c r="B21" s="25" t="str">
        <x:v>2026-05-14</x:v>
      </x:c>
      <x:c r="C21" s="30" t="n">
        <x:v>22990</x:v>
      </x:c>
      <x:c r="D21" s="25" t="str">
        <x:v>K17/K19</x:v>
      </x:c>
      <x:c r="E21" s="25" t="str">
        <x:v>Remitted Total</x:v>
      </x:c>
      <x:c r="F21" s="22"/>
      <x:c r="G21" s="22"/>
      <x:c r="H21" s="22"/>
      <x:c r="I21" s="22"/>
      <x:c r="J21" s="22"/>
      <x:c r="K21" s="22"/>
    </x:row>
    <x:row r="22">
      <x:c r="A22" s="25" t="str">
        <x:v>May-June 2026</x:v>
      </x:c>
      <x:c r="B22" s="25" t="str">
        <x:v>2026-05-21</x:v>
      </x:c>
      <x:c r="C22" s="30" t="n">
        <x:v>20180</x:v>
      </x:c>
      <x:c r="D22" s="25" t="str">
        <x:v>C17/C19</x:v>
      </x:c>
      <x:c r="E22" s="25" t="str">
        <x:v>Remitted Total</x:v>
      </x:c>
      <x:c r="F22" s="22"/>
      <x:c r="G22" s="22"/>
      <x:c r="H22" s="22"/>
      <x:c r="I22" s="22"/>
      <x:c r="J22" s="22"/>
      <x:c r="K22" s="22"/>
    </x:row>
    <x:row r="23">
      <x:c r="A23" s="25" t="str">
        <x:v>May-June 2026</x:v>
      </x:c>
      <x:c r="B23" s="25" t="str">
        <x:v>2026-06-04</x:v>
      </x:c>
      <x:c r="C23" s="30" t="n">
        <x:v>21140</x:v>
      </x:c>
      <x:c r="D23" s="25" t="str">
        <x:v>D17/D19</x:v>
      </x:c>
      <x:c r="E23" s="25" t="str">
        <x:v>Remitted Total</x:v>
      </x:c>
      <x:c r="F23" s="22"/>
      <x:c r="G23" s="22"/>
      <x:c r="H23" s="22"/>
      <x:c r="I23" s="22"/>
      <x:c r="J23" s="22"/>
      <x:c r="K23" s="22"/>
    </x:row>
    <x:row r="24">
      <x:c r="A24" s="25" t="str">
        <x:v>May-June 2026</x:v>
      </x:c>
      <x:c r="B24" s="25" t="str">
        <x:v>2026-06-16</x:v>
      </x:c>
      <x:c r="C24" s="30" t="n">
        <x:v>19320</x:v>
      </x:c>
      <x:c r="D24" s="25" t="str">
        <x:v>E17/E19</x:v>
      </x:c>
      <x:c r="E24" s="25" t="str">
        <x:v>Remitted Total</x:v>
      </x:c>
      <x:c r="F24" s="22"/>
      <x:c r="G24" s="22"/>
      <x:c r="H24" s="22"/>
      <x:c r="I24" s="22"/>
      <x:c r="J24" s="22"/>
      <x:c r="K24" s="22"/>
    </x:row>
    <x:row r="25">
      <x:c r="A25" s="25" t="str">
        <x:v>May-June 2026</x:v>
      </x:c>
      <x:c r="B25" s="25" t="str">
        <x:v>2026-06-29</x:v>
      </x:c>
      <x:c r="C25" s="30" t="n">
        <x:v>8200</x:v>
      </x:c>
      <x:c r="D25" s="25" t="str">
        <x:v>F17/F19</x:v>
      </x:c>
      <x:c r="E25" s="25" t="str">
        <x:v>Remitted Total</x:v>
      </x:c>
      <x:c r="F25" s="22"/>
      <x:c r="G25" s="22"/>
      <x:c r="H25" s="22"/>
      <x:c r="I25" s="22"/>
      <x:c r="J25" s="22"/>
      <x:c r="K25" s="22"/>
    </x:row>
    <x:row r="26">
      <x:c r="A26" s="25" t="str">
        <x:v>Jan-Feb 2026</x:v>
      </x:c>
      <x:c r="B26" s="25" t="str">
        <x:v>2026-02-27</x:v>
      </x:c>
      <x:c r="C26" s="30" t="n">
        <x:v>11400</x:v>
      </x:c>
      <x:c r="D26" s="25" t="str">
        <x:v>J25/H21</x:v>
      </x:c>
      <x:c r="E26" s="25" t="str">
        <x:v>Additional</x:v>
      </x:c>
      <x:c r="F26" s="22"/>
      <x:c r="G26" s="22"/>
      <x:c r="H26" s="22"/>
      <x:c r="I26" s="22"/>
      <x:c r="J26" s="22"/>
      <x:c r="K26" s="22"/>
    </x:row>
    <x:row r="27">
      <x:c r="A27" s="25" t="str">
        <x:v>May-June 2026</x:v>
      </x:c>
      <x:c r="B27" s="25" t="str">
        <x:v>2026-06-18</x:v>
      </x:c>
      <x:c r="C27" s="30" t="n">
        <x:v>6580</x:v>
      </x:c>
      <x:c r="D27" s="25" t="str">
        <x:v>C31/C33</x:v>
      </x:c>
      <x:c r="E27" s="25" t="str">
        <x:v>Livestock</x:v>
      </x:c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d4f1b76eeb249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9.130000114440918" hidden="0" customWidth="1"/>
    <x:col min="3" max="3" width="9.25" hidden="0" customWidth="1"/>
    <x:col min="4" max="4" width="11.380000114440918" hidden="0" customWidth="1"/>
  </x:cols>
  <x:sheetData>
    <x:row r="1">
      <x:c r="A1" s="21" t="str">
        <x:v>Extracted Report of Collection Entries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>
      <x:c r="A2" s="23" t="str">
        <x:v>Rows extracted from Report of Collection (Cash Ticket 2026).xlsx sheet 2026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>
      <x:c r="A4" s="29" t="str">
        <x:v>RD No.</x:v>
      </x:c>
      <x:c r="B4" s="29" t="str">
        <x:v>Date</x:v>
      </x:c>
      <x:c r="C4" s="29" t="str">
        <x:v>Amount</x:v>
      </x:c>
      <x:c r="D4" s="29" t="str">
        <x:v>Source Cell</x:v>
      </x:c>
      <x:c r="E4" s="22"/>
      <x:c r="F4" s="22"/>
      <x:c r="G4" s="22"/>
      <x:c r="H4" s="22"/>
      <x:c r="I4" s="22"/>
      <x:c r="J4" s="22"/>
      <x:c r="K4" s="22"/>
    </x:row>
    <x:row r="5">
      <x:c r="A5" s="25" t="n">
        <x:v>1</x:v>
      </x:c>
      <x:c r="B5" s="25" t="str">
        <x:v>2026-01-05</x:v>
      </x:c>
      <x:c r="C5" s="30" t="n">
        <x:v>7010</x:v>
      </x:c>
      <x:c r="D5" s="25" t="str">
        <x:v>2026!A2:C2</x:v>
      </x:c>
      <x:c r="E5" s="22"/>
      <x:c r="F5" s="22"/>
      <x:c r="G5" s="22"/>
      <x:c r="H5" s="22"/>
      <x:c r="I5" s="22"/>
      <x:c r="J5" s="22"/>
      <x:c r="K5" s="22"/>
    </x:row>
    <x:row r="6">
      <x:c r="A6" s="25" t="n">
        <x:v>2</x:v>
      </x:c>
      <x:c r="B6" s="25" t="str">
        <x:v>2026-01-09</x:v>
      </x:c>
      <x:c r="C6" s="30" t="n">
        <x:v>37850</x:v>
      </x:c>
      <x:c r="D6" s="25" t="str">
        <x:v>2026!A3:C3</x:v>
      </x:c>
      <x:c r="E6" s="22"/>
      <x:c r="F6" s="22"/>
      <x:c r="G6" s="22"/>
      <x:c r="H6" s="22"/>
      <x:c r="I6" s="22"/>
      <x:c r="J6" s="22"/>
      <x:c r="K6" s="22"/>
    </x:row>
    <x:row r="7">
      <x:c r="A7" s="25" t="n">
        <x:v>3</x:v>
      </x:c>
      <x:c r="B7" s="25" t="str">
        <x:v>2026-01-16</x:v>
      </x:c>
      <x:c r="C7" s="30" t="n">
        <x:v>28780</x:v>
      </x:c>
      <x:c r="D7" s="25" t="str">
        <x:v>2026!A4:C4</x:v>
      </x:c>
      <x:c r="E7" s="22"/>
      <x:c r="F7" s="22"/>
      <x:c r="G7" s="22"/>
      <x:c r="H7" s="22"/>
      <x:c r="I7" s="22"/>
      <x:c r="J7" s="22"/>
      <x:c r="K7" s="22"/>
    </x:row>
    <x:row r="8">
      <x:c r="A8" s="25" t="n">
        <x:v>4</x:v>
      </x:c>
      <x:c r="B8" s="25" t="str">
        <x:v>2026-01-26</x:v>
      </x:c>
      <x:c r="C8" s="30" t="n">
        <x:v>18710</x:v>
      </x:c>
      <x:c r="D8" s="25" t="str">
        <x:v>2026!A5:C5</x:v>
      </x:c>
      <x:c r="E8" s="22"/>
      <x:c r="F8" s="22"/>
      <x:c r="G8" s="22"/>
      <x:c r="H8" s="22"/>
      <x:c r="I8" s="22"/>
      <x:c r="J8" s="22"/>
      <x:c r="K8" s="22"/>
    </x:row>
    <x:row r="9">
      <x:c r="A9" s="25" t="n">
        <x:v>5</x:v>
      </x:c>
      <x:c r="B9" s="25" t="str">
        <x:v>2026-01-30</x:v>
      </x:c>
      <x:c r="C9" s="30" t="n">
        <x:v>29510</x:v>
      </x:c>
      <x:c r="D9" s="25" t="str">
        <x:v>2026!A6:C6</x:v>
      </x:c>
      <x:c r="E9" s="22"/>
      <x:c r="F9" s="22"/>
      <x:c r="G9" s="22"/>
      <x:c r="H9" s="22"/>
      <x:c r="I9" s="22"/>
      <x:c r="J9" s="22"/>
      <x:c r="K9" s="22"/>
    </x:row>
    <x:row r="10">
      <x:c r="A10" s="25" t="n">
        <x:v>6</x:v>
      </x:c>
      <x:c r="B10" s="25" t="str">
        <x:v>2026-02-09</x:v>
      </x:c>
      <x:c r="C10" s="30" t="n">
        <x:v>13660</x:v>
      </x:c>
      <x:c r="D10" s="25" t="str">
        <x:v>2026!A7:C7</x:v>
      </x:c>
      <x:c r="E10" s="22"/>
      <x:c r="F10" s="22"/>
      <x:c r="G10" s="22"/>
      <x:c r="H10" s="22"/>
      <x:c r="I10" s="22"/>
      <x:c r="J10" s="22"/>
      <x:c r="K10" s="22"/>
    </x:row>
    <x:row r="11">
      <x:c r="A11" s="25" t="n">
        <x:v>7</x:v>
      </x:c>
      <x:c r="B11" s="25" t="str">
        <x:v>2026-02-13</x:v>
      </x:c>
      <x:c r="C11" s="30" t="n">
        <x:v>16700</x:v>
      </x:c>
      <x:c r="D11" s="25" t="str">
        <x:v>2026!A8:C8</x:v>
      </x:c>
      <x:c r="E11" s="22"/>
      <x:c r="F11" s="22"/>
      <x:c r="G11" s="22"/>
      <x:c r="H11" s="22"/>
      <x:c r="I11" s="22"/>
      <x:c r="J11" s="22"/>
      <x:c r="K11" s="22"/>
    </x:row>
    <x:row r="12">
      <x:c r="A12" s="25" t="n">
        <x:v>8</x:v>
      </x:c>
      <x:c r="B12" s="25" t="str">
        <x:v>2026-02-19</x:v>
      </x:c>
      <x:c r="C12" s="30" t="n">
        <x:v>29530</x:v>
      </x:c>
      <x:c r="D12" s="25" t="str">
        <x:v>2026!A9:C9</x:v>
      </x:c>
      <x:c r="E12" s="22"/>
      <x:c r="F12" s="22"/>
      <x:c r="G12" s="22"/>
      <x:c r="H12" s="22"/>
      <x:c r="I12" s="22"/>
      <x:c r="J12" s="22"/>
      <x:c r="K12" s="22"/>
    </x:row>
    <x:row r="13">
      <x:c r="A13" s="25" t="n">
        <x:v>9</x:v>
      </x:c>
      <x:c r="B13" s="25" t="str">
        <x:v>2026-02-26</x:v>
      </x:c>
      <x:c r="C13" s="30" t="n">
        <x:v>31190</x:v>
      </x:c>
      <x:c r="D13" s="25" t="str">
        <x:v>2026!A10:C10</x:v>
      </x:c>
      <x:c r="E13" s="22"/>
      <x:c r="F13" s="22"/>
      <x:c r="G13" s="22"/>
      <x:c r="H13" s="22"/>
      <x:c r="I13" s="22"/>
      <x:c r="J13" s="22"/>
      <x:c r="K13" s="22"/>
    </x:row>
    <x:row r="14">
      <x:c r="A14" s="25" t="n">
        <x:v>10</x:v>
      </x:c>
      <x:c r="B14" s="25" t="str">
        <x:v>2026-02-27</x:v>
      </x:c>
      <x:c r="C14" s="30" t="n">
        <x:v>11400</x:v>
      </x:c>
      <x:c r="D14" s="25" t="str">
        <x:v>2026!A11:C11</x:v>
      </x:c>
      <x:c r="E14" s="22"/>
      <x:c r="F14" s="22"/>
      <x:c r="G14" s="22"/>
      <x:c r="H14" s="22"/>
      <x:c r="I14" s="22"/>
      <x:c r="J14" s="22"/>
      <x:c r="K14" s="22"/>
    </x:row>
    <x:row r="15">
      <x:c r="A15" s="25" t="n">
        <x:v>11</x:v>
      </x:c>
      <x:c r="B15" s="25" t="str">
        <x:v>2026-03-06</x:v>
      </x:c>
      <x:c r="C15" s="30" t="n">
        <x:v>25480</x:v>
      </x:c>
      <x:c r="D15" s="25" t="str">
        <x:v>2026!A12:C12</x:v>
      </x:c>
      <x:c r="E15" s="22"/>
      <x:c r="F15" s="22"/>
      <x:c r="G15" s="22"/>
      <x:c r="H15" s="22"/>
      <x:c r="I15" s="22"/>
      <x:c r="J15" s="22"/>
      <x:c r="K15" s="22"/>
    </x:row>
    <x:row r="16">
      <x:c r="A16" s="25" t="n">
        <x:v>12</x:v>
      </x:c>
      <x:c r="B16" s="25" t="str">
        <x:v>2026-03-12</x:v>
      </x:c>
      <x:c r="C16" s="30" t="n">
        <x:v>23530</x:v>
      </x:c>
      <x:c r="D16" s="25" t="str">
        <x:v>2026!A13:C13</x:v>
      </x:c>
      <x:c r="E16" s="22"/>
      <x:c r="F16" s="22"/>
      <x:c r="G16" s="22"/>
      <x:c r="H16" s="22"/>
      <x:c r="I16" s="22"/>
      <x:c r="J16" s="22"/>
      <x:c r="K16" s="22"/>
    </x:row>
    <x:row r="17">
      <x:c r="A17" s="25" t="n">
        <x:v>13</x:v>
      </x:c>
      <x:c r="B17" s="25" t="str">
        <x:v>2026-03-19</x:v>
      </x:c>
      <x:c r="C17" s="30" t="n">
        <x:v>17810</x:v>
      </x:c>
      <x:c r="D17" s="25" t="str">
        <x:v>2026!A14:C14</x:v>
      </x:c>
      <x:c r="E17" s="22"/>
      <x:c r="F17" s="22"/>
      <x:c r="G17" s="22"/>
      <x:c r="H17" s="22"/>
      <x:c r="I17" s="22"/>
      <x:c r="J17" s="22"/>
      <x:c r="K17" s="22"/>
    </x:row>
    <x:row r="18">
      <x:c r="A18" s="25" t="n">
        <x:v>14</x:v>
      </x:c>
      <x:c r="B18" s="25" t="str">
        <x:v>2026-03-30</x:v>
      </x:c>
      <x:c r="C18" s="30" t="n">
        <x:v>23490</x:v>
      </x:c>
      <x:c r="D18" s="25" t="str">
        <x:v>2026!A15:C15</x:v>
      </x:c>
      <x:c r="E18" s="22"/>
      <x:c r="F18" s="22"/>
      <x:c r="G18" s="22"/>
      <x:c r="H18" s="22"/>
      <x:c r="I18" s="22"/>
      <x:c r="J18" s="22"/>
      <x:c r="K18" s="22"/>
    </x:row>
    <x:row r="19">
      <x:c r="A19" s="25" t="n">
        <x:v>15</x:v>
      </x:c>
      <x:c r="B19" s="25" t="str">
        <x:v>2026-04-01</x:v>
      </x:c>
      <x:c r="C19" s="30" t="n">
        <x:v>19630</x:v>
      </x:c>
      <x:c r="D19" s="25" t="str">
        <x:v>2026!A16:C16</x:v>
      </x:c>
      <x:c r="E19" s="22"/>
      <x:c r="F19" s="22"/>
      <x:c r="G19" s="22"/>
      <x:c r="H19" s="22"/>
      <x:c r="I19" s="22"/>
      <x:c r="J19" s="22"/>
      <x:c r="K19" s="22"/>
    </x:row>
    <x:row r="20">
      <x:c r="A20" s="25" t="n">
        <x:v>16</x:v>
      </x:c>
      <x:c r="B20" s="25" t="str">
        <x:v>2026-04-10</x:v>
      </x:c>
      <x:c r="C20" s="30" t="n">
        <x:v>23970</x:v>
      </x:c>
      <x:c r="D20" s="25" t="str">
        <x:v>2026!A17:C17</x:v>
      </x:c>
      <x:c r="E20" s="22"/>
      <x:c r="F20" s="22"/>
      <x:c r="G20" s="22"/>
      <x:c r="H20" s="22"/>
      <x:c r="I20" s="22"/>
      <x:c r="J20" s="22"/>
      <x:c r="K20" s="22"/>
    </x:row>
    <x:row r="21">
      <x:c r="A21" s="25" t="n">
        <x:v>17</x:v>
      </x:c>
      <x:c r="B21" s="25" t="str">
        <x:v>2026-04-20</x:v>
      </x:c>
      <x:c r="C21" s="30" t="n">
        <x:v>23970</x:v>
      </x:c>
      <x:c r="D21" s="25" t="str">
        <x:v>2026!A18:C18</x:v>
      </x:c>
      <x:c r="E21" s="22"/>
      <x:c r="F21" s="22"/>
      <x:c r="G21" s="22"/>
      <x:c r="H21" s="22"/>
      <x:c r="I21" s="22"/>
      <x:c r="J21" s="22"/>
      <x:c r="K21" s="22"/>
    </x:row>
    <x:row r="22">
      <x:c r="A22" s="25" t="n">
        <x:v>18</x:v>
      </x:c>
      <x:c r="B22" s="25" t="str">
        <x:v>2026-04-30</x:v>
      </x:c>
      <x:c r="C22" s="30" t="n">
        <x:v>18590</x:v>
      </x:c>
      <x:c r="D22" s="25" t="str">
        <x:v>2026!A19:C19</x:v>
      </x:c>
      <x:c r="E22" s="22"/>
      <x:c r="F22" s="22"/>
      <x:c r="G22" s="22"/>
      <x:c r="H22" s="22"/>
      <x:c r="I22" s="22"/>
      <x:c r="J22" s="22"/>
      <x:c r="K22" s="22"/>
    </x:row>
    <x:row r="23">
      <x:c r="A23" s="25" t="n">
        <x:v>19</x:v>
      </x:c>
      <x:c r="B23" s="25" t="str">
        <x:v>2026-05-14</x:v>
      </x:c>
      <x:c r="C23" s="30" t="n">
        <x:v>22990</x:v>
      </x:c>
      <x:c r="D23" s="25" t="str">
        <x:v>2026!A20:C20</x:v>
      </x:c>
      <x:c r="E23" s="22"/>
      <x:c r="F23" s="22"/>
      <x:c r="G23" s="22"/>
      <x:c r="H23" s="22"/>
      <x:c r="I23" s="22"/>
      <x:c r="J23" s="22"/>
      <x:c r="K23" s="22"/>
    </x:row>
    <x:row r="24">
      <x:c r="A24" s="25" t="n">
        <x:v>20</x:v>
      </x:c>
      <x:c r="B24" s="25" t="str">
        <x:v>2026-05-21</x:v>
      </x:c>
      <x:c r="C24" s="30" t="n">
        <x:v>20180</x:v>
      </x:c>
      <x:c r="D24" s="25" t="str">
        <x:v>2026!A21:C21</x:v>
      </x:c>
      <x:c r="E24" s="22"/>
      <x:c r="F24" s="22"/>
      <x:c r="G24" s="22"/>
      <x:c r="H24" s="22"/>
      <x:c r="I24" s="22"/>
      <x:c r="J24" s="22"/>
      <x:c r="K24" s="22"/>
    </x:row>
    <x:row r="25">
      <x:c r="A25" s="25" t="n">
        <x:v>21</x:v>
      </x:c>
      <x:c r="B25" s="25" t="str">
        <x:v>2026-06-04</x:v>
      </x:c>
      <x:c r="C25" s="30" t="n">
        <x:v>21140</x:v>
      </x:c>
      <x:c r="D25" s="25" t="str">
        <x:v>2026!A22:C22</x:v>
      </x:c>
      <x:c r="E25" s="22"/>
      <x:c r="F25" s="22"/>
      <x:c r="G25" s="22"/>
      <x:c r="H25" s="22"/>
      <x:c r="I25" s="22"/>
      <x:c r="J25" s="22"/>
      <x:c r="K25" s="22"/>
    </x:row>
    <x:row r="26">
      <x:c r="A26" s="25" t="n">
        <x:v>22</x:v>
      </x:c>
      <x:c r="B26" s="25" t="str">
        <x:v>2026-06-16</x:v>
      </x:c>
      <x:c r="C26" s="30" t="n">
        <x:v>19320</x:v>
      </x:c>
      <x:c r="D26" s="25" t="str">
        <x:v>2026!A23:C23</x:v>
      </x:c>
      <x:c r="E26" s="22"/>
      <x:c r="F26" s="22"/>
      <x:c r="G26" s="22"/>
      <x:c r="H26" s="22"/>
      <x:c r="I26" s="22"/>
      <x:c r="J26" s="22"/>
      <x:c r="K26" s="22"/>
    </x:row>
    <x:row r="27">
      <x:c r="A27" s="25" t="n">
        <x:v>23</x:v>
      </x:c>
      <x:c r="B27" s="25" t="str">
        <x:v>2022-06-18</x:v>
      </x:c>
      <x:c r="C27" s="30" t="n">
        <x:v>6580</x:v>
      </x:c>
      <x:c r="D27" s="25" t="str">
        <x:v>2026!A24:C24</x:v>
      </x:c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79fa76fdeb24ed2"/>
  </x:tableParts>
</x:worksheet>
</file>