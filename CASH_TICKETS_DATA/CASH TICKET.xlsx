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78CBE9E0-72BE-4F3C-BC34-64D5034A7AB7}" xr6:coauthVersionLast="47" xr6:coauthVersionMax="47" xr10:uidLastSave="{00000000-0000-0000-0000-000000000000}"/>
  <bookViews>
    <workbookView xWindow="-120" yWindow="-120" windowWidth="29040" windowHeight="15840" activeTab="2" xr2:uid="{5095B0DA-A97D-4247-875E-892093CB76E2}"/>
  </bookViews>
  <sheets>
    <sheet name="Jan-Feb 2026" sheetId="1" r:id="rId1"/>
    <sheet name="Mar-Apr 2026" sheetId="3" r:id="rId2"/>
    <sheet name="May-June 2026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4" l="1"/>
  <c r="N3" i="1"/>
  <c r="N4" i="1"/>
  <c r="C31" i="4"/>
  <c r="N4" i="4"/>
  <c r="N5" i="4"/>
  <c r="N6" i="4"/>
  <c r="N7" i="4"/>
  <c r="N8" i="4"/>
  <c r="N9" i="4"/>
  <c r="N10" i="4"/>
  <c r="N11" i="4"/>
  <c r="N3" i="4"/>
  <c r="K17" i="3"/>
  <c r="H24" i="3"/>
  <c r="E17" i="4"/>
  <c r="D17" i="4"/>
  <c r="C17" i="4"/>
  <c r="N3" i="3"/>
  <c r="J25" i="1"/>
  <c r="J17" i="3"/>
  <c r="I17" i="3"/>
  <c r="H17" i="3"/>
  <c r="G17" i="3"/>
  <c r="F17" i="3"/>
  <c r="E17" i="3"/>
  <c r="D17" i="3"/>
  <c r="C17" i="3"/>
  <c r="N11" i="3"/>
  <c r="N10" i="3"/>
  <c r="N9" i="3"/>
  <c r="N8" i="3"/>
  <c r="N7" i="3"/>
  <c r="N6" i="3"/>
  <c r="N5" i="3"/>
  <c r="N4" i="3"/>
  <c r="J17" i="1"/>
  <c r="I17" i="1"/>
  <c r="N14" i="4" l="1"/>
  <c r="N14" i="3"/>
  <c r="N16" i="3" s="1"/>
  <c r="H17" i="1"/>
  <c r="G17" i="1"/>
  <c r="F17" i="1"/>
  <c r="E17" i="1"/>
  <c r="D17" i="1"/>
  <c r="C17" i="1"/>
  <c r="N11" i="1"/>
  <c r="N10" i="1"/>
  <c r="N9" i="1"/>
  <c r="N8" i="1"/>
  <c r="N7" i="1"/>
  <c r="N6" i="1"/>
  <c r="N5" i="1"/>
  <c r="N14" i="1" l="1"/>
</calcChain>
</file>

<file path=xl/sharedStrings.xml><?xml version="1.0" encoding="utf-8"?>
<sst xmlns="http://schemas.openxmlformats.org/spreadsheetml/2006/main" count="89" uniqueCount="34">
  <si>
    <t>CASH TICKET</t>
  </si>
  <si>
    <t>No.</t>
  </si>
  <si>
    <t>NAME</t>
  </si>
  <si>
    <t>Cash Breakdown:</t>
  </si>
  <si>
    <t>SHEIN LAZAGA</t>
  </si>
  <si>
    <t>NOEL PARTOSA</t>
  </si>
  <si>
    <t>SUSAN VENTOLERO</t>
  </si>
  <si>
    <t>VANGIE ELUMIR</t>
  </si>
  <si>
    <t>JOSE VILIRAN</t>
  </si>
  <si>
    <t>JENNIBETH OLPOS</t>
  </si>
  <si>
    <t>ALAIN BAYLON</t>
  </si>
  <si>
    <t>CRISPIN TRUMATA</t>
  </si>
  <si>
    <t>ROSE B.</t>
  </si>
  <si>
    <t>COINS</t>
  </si>
  <si>
    <t>HERMAN E.</t>
  </si>
  <si>
    <t>COLLIN PINILI</t>
  </si>
  <si>
    <t>Total:</t>
  </si>
  <si>
    <t>CARLOS ELUNA</t>
  </si>
  <si>
    <t>JOEY ELUM</t>
  </si>
  <si>
    <t>TOTAL</t>
  </si>
  <si>
    <t>RYNEJE LAGRADILLA</t>
  </si>
  <si>
    <t>Remitted:</t>
  </si>
  <si>
    <t>Additional</t>
  </si>
  <si>
    <t xml:space="preserve">Jose V.   </t>
  </si>
  <si>
    <t>Shein L.</t>
  </si>
  <si>
    <t>Ryneje L.</t>
  </si>
  <si>
    <t>Herman E.</t>
  </si>
  <si>
    <t>(2/27/2026)</t>
  </si>
  <si>
    <t>-</t>
  </si>
  <si>
    <t>Susan V.</t>
  </si>
  <si>
    <t>CHRISTINA TEVES</t>
  </si>
  <si>
    <t>LIVESTOCK (MALATAPAY)</t>
  </si>
  <si>
    <t>JOSE BOBBY VILIRAN</t>
  </si>
  <si>
    <t>Date Remitted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</si>
</sst>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43" fontId="1" fillId="0" borderId="1" xfId="1" applyFont="1" applyFill="1" applyBorder="1"/>
    <xf numFmtId="0" fontId="1" fillId="0" borderId="2" xfId="1" applyNumberFormat="1" applyFont="1" applyFill="1" applyBorder="1"/>
    <xf numFmtId="0" fontId="1" fillId="0" borderId="0" xfId="1" applyNumberFormat="1" applyFont="1" applyFill="1" applyBorder="1"/>
    <xf numFmtId="43" fontId="0" fillId="0" borderId="0" xfId="1" applyFont="1"/>
    <xf numFmtId="43" fontId="0" fillId="0" borderId="0" xfId="0" applyNumberFormat="1"/>
    <xf numFmtId="43" fontId="2" fillId="0" borderId="1" xfId="1" applyFont="1" applyFill="1" applyBorder="1"/>
    <xf numFmtId="0" fontId="0" fillId="0" borderId="3" xfId="0" applyBorder="1" applyAlignment="1">
      <alignment horizontal="left"/>
    </xf>
    <xf numFmtId="14" fontId="0" fillId="0" borderId="0" xfId="0" applyNumberFormat="1"/>
    <xf numFmtId="0" fontId="0" fillId="0" borderId="0" xfId="0" applyAlignment="1">
      <alignment horizontal="left"/>
    </xf>
    <xf numFmtId="43" fontId="3" fillId="0" borderId="0" xfId="1" applyFont="1"/>
    <xf numFmtId="43" fontId="1" fillId="0" borderId="1" xfId="1" applyFont="1" applyFill="1" applyBorder="1" applyAlignment="1">
      <alignment horizontal="center"/>
    </xf>
    <xf numFmtId="43" fontId="4" fillId="0" borderId="0" xfId="1" applyFont="1"/>
    <xf numFmtId="0" fontId="2" fillId="0" borderId="0" xfId="0" applyFont="1"/>
    <xf numFmtId="43" fontId="5" fillId="0" borderId="1" xfId="1" applyFont="1" applyFill="1" applyBorder="1"/>
    <xf numFmtId="0" fontId="0" fillId="0" borderId="1" xfId="0" applyBorder="1"/>
    <xf numFmtId="14" fontId="0" fillId="0" borderId="1" xfId="0" applyNumberFormat="1" applyBorder="1"/>
    <xf numFmtId="0" fontId="0" fillId="0" borderId="3" xfId="0" applyBorder="1"/>
    <xf numFmtId="43" fontId="0" fillId="0" borderId="1" xfId="1" applyFont="1" applyBorder="1"/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7C9F3-EF03-4ECA-ACA0-3AC7A6C89C84}">
  <dimension ref="A1:N25"/>
  <sheetViews>
    <sheetView zoomScale="95" zoomScaleNormal="95" workbookViewId="0">
      <selection activeCell="R22" sqref="R22"/>
    </sheetView>
  </sheetViews>
  <sheetFormatPr defaultRowHeight="15" x14ac:dyDescent="0.25"/>
  <cols>
    <col min="1" max="1" width="4.140625" bestFit="1" customWidth="1"/>
    <col min="2" max="2" width="18.28515625" bestFit="1" customWidth="1"/>
    <col min="3" max="3" width="11.42578125" customWidth="1"/>
    <col min="4" max="5" width="12.7109375" customWidth="1"/>
    <col min="6" max="6" width="11.85546875" customWidth="1"/>
    <col min="7" max="9" width="11.5703125" customWidth="1"/>
    <col min="10" max="10" width="11.140625" customWidth="1"/>
    <col min="11" max="11" width="11.85546875" customWidth="1"/>
    <col min="12" max="12" width="13.7109375" customWidth="1"/>
    <col min="13" max="13" width="6.85546875" customWidth="1"/>
    <col min="14" max="14" width="16" customWidth="1"/>
  </cols>
  <sheetData>
    <row r="1" spans="1:14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4" x14ac:dyDescent="0.25">
      <c r="A2" s="1" t="s">
        <v>1</v>
      </c>
      <c r="B2" s="1" t="s">
        <v>2</v>
      </c>
      <c r="C2" s="2"/>
      <c r="D2" s="2"/>
      <c r="E2" s="2"/>
      <c r="F2" s="2"/>
      <c r="G2" s="2"/>
      <c r="H2" s="2"/>
      <c r="I2" s="2"/>
      <c r="J2" s="2"/>
      <c r="K2" s="2"/>
      <c r="L2" s="23" t="s">
        <v>3</v>
      </c>
      <c r="M2" s="24"/>
      <c r="N2" s="24"/>
    </row>
    <row r="3" spans="1:14" x14ac:dyDescent="0.25">
      <c r="A3" s="1">
        <v>1</v>
      </c>
      <c r="B3" s="3" t="s">
        <v>4</v>
      </c>
      <c r="C3" s="4">
        <v>20000</v>
      </c>
      <c r="D3" s="4">
        <v>10000</v>
      </c>
      <c r="E3" s="4">
        <v>10000</v>
      </c>
      <c r="F3" s="4">
        <v>10000</v>
      </c>
      <c r="G3" s="4">
        <v>5000</v>
      </c>
      <c r="H3" s="4">
        <v>5000</v>
      </c>
      <c r="I3" s="4">
        <v>10000</v>
      </c>
      <c r="J3" s="4">
        <v>15000</v>
      </c>
      <c r="K3" s="4"/>
      <c r="L3">
        <v>1000</v>
      </c>
      <c r="M3">
        <v>11</v>
      </c>
      <c r="N3">
        <f t="shared" ref="N3:N11" si="0">SUM(L3*M3)</f>
        <v>11000</v>
      </c>
    </row>
    <row r="4" spans="1:14" x14ac:dyDescent="0.25">
      <c r="A4" s="1">
        <v>2</v>
      </c>
      <c r="B4" s="3" t="s">
        <v>5</v>
      </c>
      <c r="C4" s="4">
        <v>1140</v>
      </c>
      <c r="D4" s="4">
        <v>910</v>
      </c>
      <c r="E4" s="4">
        <v>1200</v>
      </c>
      <c r="F4" s="4">
        <v>1130</v>
      </c>
      <c r="G4" s="4">
        <v>1160</v>
      </c>
      <c r="H4" s="4">
        <v>1000</v>
      </c>
      <c r="I4" s="4">
        <v>900</v>
      </c>
      <c r="J4" s="4">
        <v>1150</v>
      </c>
      <c r="K4" s="4"/>
      <c r="L4">
        <v>500</v>
      </c>
      <c r="M4">
        <v>19</v>
      </c>
      <c r="N4">
        <f t="shared" si="0"/>
        <v>9500</v>
      </c>
    </row>
    <row r="5" spans="1:14" x14ac:dyDescent="0.25">
      <c r="A5" s="1">
        <v>3</v>
      </c>
      <c r="B5" s="3" t="s">
        <v>6</v>
      </c>
      <c r="C5" s="4">
        <v>1260</v>
      </c>
      <c r="D5" s="4">
        <v>740</v>
      </c>
      <c r="E5" s="4">
        <v>800</v>
      </c>
      <c r="F5" s="4">
        <v>480</v>
      </c>
      <c r="G5" s="4">
        <v>740</v>
      </c>
      <c r="H5" s="4">
        <v>600</v>
      </c>
      <c r="I5" s="4">
        <v>600</v>
      </c>
      <c r="J5" s="4">
        <v>600</v>
      </c>
      <c r="K5" s="4"/>
      <c r="L5">
        <v>200</v>
      </c>
      <c r="M5">
        <v>0</v>
      </c>
      <c r="N5">
        <f t="shared" si="0"/>
        <v>0</v>
      </c>
    </row>
    <row r="6" spans="1:14" x14ac:dyDescent="0.25">
      <c r="A6" s="1">
        <v>4</v>
      </c>
      <c r="B6" s="3" t="s">
        <v>7</v>
      </c>
      <c r="C6" s="4">
        <v>1240</v>
      </c>
      <c r="D6" s="4">
        <v>900</v>
      </c>
      <c r="E6" s="4">
        <v>1040</v>
      </c>
      <c r="F6" s="4">
        <v>1000</v>
      </c>
      <c r="G6" s="4">
        <v>1000</v>
      </c>
      <c r="H6" s="4">
        <v>1200</v>
      </c>
      <c r="I6" s="4">
        <v>1220</v>
      </c>
      <c r="J6" s="4">
        <v>1160</v>
      </c>
      <c r="K6" s="4"/>
      <c r="L6">
        <v>100</v>
      </c>
      <c r="M6">
        <v>29</v>
      </c>
      <c r="N6">
        <f t="shared" si="0"/>
        <v>2900</v>
      </c>
    </row>
    <row r="7" spans="1:14" x14ac:dyDescent="0.25">
      <c r="A7" s="1">
        <v>5</v>
      </c>
      <c r="B7" s="3" t="s">
        <v>8</v>
      </c>
      <c r="C7" s="4">
        <v>1200</v>
      </c>
      <c r="D7" s="4">
        <v>1200</v>
      </c>
      <c r="E7" s="4">
        <v>1160</v>
      </c>
      <c r="F7" s="4">
        <v>1200</v>
      </c>
      <c r="G7" s="4">
        <v>1200</v>
      </c>
      <c r="H7" s="4"/>
      <c r="I7" s="4">
        <v>2150</v>
      </c>
      <c r="J7" s="4"/>
      <c r="K7" s="4"/>
      <c r="L7">
        <v>50</v>
      </c>
      <c r="M7">
        <v>6</v>
      </c>
      <c r="N7">
        <f t="shared" si="0"/>
        <v>300</v>
      </c>
    </row>
    <row r="8" spans="1:14" x14ac:dyDescent="0.25">
      <c r="A8" s="1">
        <v>6</v>
      </c>
      <c r="B8" s="3" t="s">
        <v>9</v>
      </c>
      <c r="C8" s="4">
        <v>570</v>
      </c>
      <c r="D8" s="4"/>
      <c r="E8" s="4"/>
      <c r="F8" s="4"/>
      <c r="G8" s="4"/>
      <c r="H8" s="4"/>
      <c r="I8" s="4"/>
      <c r="J8" s="4"/>
      <c r="K8" s="4"/>
      <c r="L8">
        <v>20</v>
      </c>
      <c r="M8">
        <v>27</v>
      </c>
      <c r="N8">
        <f t="shared" si="0"/>
        <v>540</v>
      </c>
    </row>
    <row r="9" spans="1:14" x14ac:dyDescent="0.25">
      <c r="A9" s="1">
        <v>7</v>
      </c>
      <c r="B9" s="3" t="s">
        <v>10</v>
      </c>
      <c r="C9" s="4">
        <v>2240</v>
      </c>
      <c r="D9" s="4">
        <v>2330</v>
      </c>
      <c r="E9" s="4">
        <v>1810</v>
      </c>
      <c r="F9" s="4">
        <v>2200</v>
      </c>
      <c r="G9" s="4">
        <v>1860</v>
      </c>
      <c r="H9" s="4">
        <v>1900</v>
      </c>
      <c r="I9" s="4">
        <v>1960</v>
      </c>
      <c r="J9" s="4">
        <v>1780</v>
      </c>
      <c r="K9" s="4"/>
      <c r="L9">
        <v>10</v>
      </c>
      <c r="M9" s="5">
        <v>1</v>
      </c>
      <c r="N9">
        <f t="shared" si="0"/>
        <v>10</v>
      </c>
    </row>
    <row r="10" spans="1:14" x14ac:dyDescent="0.25">
      <c r="A10" s="1">
        <v>8</v>
      </c>
      <c r="B10" s="3" t="s">
        <v>20</v>
      </c>
      <c r="C10" s="4">
        <v>1200</v>
      </c>
      <c r="D10" s="4">
        <v>1200</v>
      </c>
      <c r="E10" s="4">
        <v>1200</v>
      </c>
      <c r="F10" s="4"/>
      <c r="G10" s="4">
        <v>1200</v>
      </c>
      <c r="H10" s="4"/>
      <c r="I10" s="4">
        <v>1200</v>
      </c>
      <c r="J10" s="4"/>
      <c r="K10" s="4"/>
      <c r="L10">
        <v>5</v>
      </c>
      <c r="M10" s="6">
        <v>0</v>
      </c>
      <c r="N10">
        <f t="shared" si="0"/>
        <v>0</v>
      </c>
    </row>
    <row r="11" spans="1:14" x14ac:dyDescent="0.25">
      <c r="A11" s="1">
        <v>9</v>
      </c>
      <c r="B11" s="3" t="s">
        <v>11</v>
      </c>
      <c r="C11" s="4">
        <v>2000</v>
      </c>
      <c r="D11" s="4">
        <v>2000</v>
      </c>
      <c r="E11" s="4"/>
      <c r="F11" s="4">
        <v>4000</v>
      </c>
      <c r="G11" s="4"/>
      <c r="H11" s="4">
        <v>3000</v>
      </c>
      <c r="I11" s="4">
        <v>2000</v>
      </c>
      <c r="J11" s="4">
        <v>2000</v>
      </c>
      <c r="K11" s="4"/>
      <c r="L11">
        <v>1</v>
      </c>
      <c r="M11" s="6">
        <v>0</v>
      </c>
      <c r="N11">
        <f t="shared" si="0"/>
        <v>0</v>
      </c>
    </row>
    <row r="12" spans="1:14" x14ac:dyDescent="0.25">
      <c r="A12" s="1">
        <v>10</v>
      </c>
      <c r="B12" s="3" t="s">
        <v>12</v>
      </c>
      <c r="C12" s="4">
        <v>3000</v>
      </c>
      <c r="D12" s="4">
        <v>1500</v>
      </c>
      <c r="E12" s="4">
        <v>1500</v>
      </c>
      <c r="F12" s="4">
        <v>1500</v>
      </c>
      <c r="G12" s="4">
        <v>1500</v>
      </c>
      <c r="H12" s="4"/>
      <c r="I12" s="4">
        <v>1500</v>
      </c>
      <c r="J12" s="4">
        <v>1500</v>
      </c>
      <c r="K12" s="4"/>
      <c r="L12" t="s">
        <v>13</v>
      </c>
      <c r="M12">
        <v>0</v>
      </c>
    </row>
    <row r="13" spans="1:14" x14ac:dyDescent="0.25">
      <c r="A13" s="1">
        <v>11</v>
      </c>
      <c r="B13" s="3" t="s">
        <v>14</v>
      </c>
      <c r="C13" s="4">
        <v>4000</v>
      </c>
      <c r="D13" s="4">
        <v>8000</v>
      </c>
      <c r="E13" s="4"/>
      <c r="F13" s="4">
        <v>8000</v>
      </c>
      <c r="G13" s="4"/>
      <c r="H13" s="4">
        <v>4000</v>
      </c>
      <c r="I13" s="4">
        <v>8000</v>
      </c>
      <c r="J13" s="4">
        <v>8000</v>
      </c>
      <c r="K13" s="4"/>
      <c r="N13" s="7"/>
    </row>
    <row r="14" spans="1:14" x14ac:dyDescent="0.25">
      <c r="A14" s="1">
        <v>12</v>
      </c>
      <c r="B14" s="3" t="s">
        <v>15</v>
      </c>
      <c r="C14" s="4"/>
      <c r="D14" s="4"/>
      <c r="E14" s="4"/>
      <c r="F14" s="4"/>
      <c r="G14" s="4"/>
      <c r="H14" s="4"/>
      <c r="I14" s="4"/>
      <c r="J14" s="4"/>
      <c r="K14" s="4"/>
      <c r="L14" t="s">
        <v>16</v>
      </c>
      <c r="N14" s="7">
        <f>SUM(N3:N12)</f>
        <v>24250</v>
      </c>
    </row>
    <row r="15" spans="1:14" x14ac:dyDescent="0.25">
      <c r="A15" s="1">
        <v>13</v>
      </c>
      <c r="B15" s="3" t="s">
        <v>17</v>
      </c>
      <c r="C15" s="4"/>
      <c r="D15" s="4"/>
      <c r="E15" s="4"/>
      <c r="F15" s="4"/>
      <c r="G15" s="4"/>
      <c r="H15" s="4"/>
      <c r="I15" s="4"/>
      <c r="J15" s="4"/>
      <c r="K15" s="4"/>
      <c r="N15" s="8"/>
    </row>
    <row r="16" spans="1:14" x14ac:dyDescent="0.25">
      <c r="A16" s="1">
        <v>14</v>
      </c>
      <c r="B16" s="3" t="s">
        <v>18</v>
      </c>
      <c r="C16" s="4"/>
      <c r="D16" s="9"/>
      <c r="E16" s="9"/>
      <c r="F16" s="9"/>
      <c r="G16" s="9"/>
      <c r="H16" s="9"/>
      <c r="I16" s="9"/>
      <c r="J16" s="9"/>
      <c r="K16" s="9"/>
    </row>
    <row r="17" spans="2:10" x14ac:dyDescent="0.25">
      <c r="B17" s="10" t="s">
        <v>19</v>
      </c>
      <c r="C17" s="8">
        <f t="shared" ref="C17:H17" si="1">SUM(C3:C16)</f>
        <v>37850</v>
      </c>
      <c r="D17" s="8">
        <f t="shared" si="1"/>
        <v>28780</v>
      </c>
      <c r="E17" s="8">
        <f t="shared" si="1"/>
        <v>18710</v>
      </c>
      <c r="F17" s="8">
        <f t="shared" si="1"/>
        <v>29510</v>
      </c>
      <c r="G17" s="8">
        <f t="shared" si="1"/>
        <v>13660</v>
      </c>
      <c r="H17" s="8">
        <f t="shared" si="1"/>
        <v>16700</v>
      </c>
      <c r="I17" s="8">
        <f>SUM(I3:I16)</f>
        <v>29530</v>
      </c>
      <c r="J17" s="8">
        <f>SUM(J3:J16)</f>
        <v>31190</v>
      </c>
    </row>
    <row r="19" spans="2:10" x14ac:dyDescent="0.25">
      <c r="B19" s="12" t="s">
        <v>21</v>
      </c>
      <c r="C19" s="11">
        <v>46031</v>
      </c>
      <c r="D19" s="11">
        <v>46038</v>
      </c>
      <c r="E19" s="11">
        <v>45683</v>
      </c>
      <c r="F19" s="11">
        <v>46052</v>
      </c>
      <c r="G19" s="11">
        <v>46062</v>
      </c>
      <c r="H19" s="11">
        <v>44970</v>
      </c>
      <c r="I19" s="11">
        <v>46041</v>
      </c>
      <c r="J19" s="11">
        <v>46048</v>
      </c>
    </row>
    <row r="20" spans="2:10" x14ac:dyDescent="0.25">
      <c r="I20" s="11"/>
      <c r="J20" s="11"/>
    </row>
    <row r="21" spans="2:10" x14ac:dyDescent="0.25">
      <c r="B21" s="12" t="s">
        <v>22</v>
      </c>
      <c r="H21" t="s">
        <v>27</v>
      </c>
      <c r="I21" t="s">
        <v>26</v>
      </c>
      <c r="J21" s="7">
        <v>4000</v>
      </c>
    </row>
    <row r="22" spans="2:10" x14ac:dyDescent="0.25">
      <c r="I22" t="s">
        <v>23</v>
      </c>
      <c r="J22" s="7">
        <v>1200</v>
      </c>
    </row>
    <row r="23" spans="2:10" x14ac:dyDescent="0.25">
      <c r="I23" t="s">
        <v>24</v>
      </c>
      <c r="J23" s="7">
        <v>5000</v>
      </c>
    </row>
    <row r="24" spans="2:10" x14ac:dyDescent="0.25">
      <c r="I24" t="s">
        <v>25</v>
      </c>
      <c r="J24" s="7">
        <v>1200</v>
      </c>
    </row>
    <row r="25" spans="2:10" ht="17.25" x14ac:dyDescent="0.4">
      <c r="I25" t="s">
        <v>16</v>
      </c>
      <c r="J25" s="13">
        <f>SUM(J21:J24)</f>
        <v>11400</v>
      </c>
    </row>
  </sheetData>
  <mergeCells count="2">
    <mergeCell ref="A1:L1"/>
    <mergeCell ref="L2:N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6F19B-5331-4B48-9AFC-E2A2CB7658D9}">
  <dimension ref="A1:N24"/>
  <sheetViews>
    <sheetView zoomScale="84" zoomScaleNormal="84" workbookViewId="0">
      <selection activeCell="P24" sqref="P24"/>
    </sheetView>
  </sheetViews>
  <sheetFormatPr defaultRowHeight="15" x14ac:dyDescent="0.25"/>
  <cols>
    <col min="1" max="1" width="4.140625" bestFit="1" customWidth="1"/>
    <col min="2" max="2" width="18.28515625" bestFit="1" customWidth="1"/>
    <col min="3" max="3" width="11.42578125" customWidth="1"/>
    <col min="4" max="5" width="12.7109375" customWidth="1"/>
    <col min="6" max="6" width="11.85546875" customWidth="1"/>
    <col min="7" max="7" width="11.5703125" customWidth="1"/>
    <col min="8" max="9" width="11.140625" customWidth="1"/>
    <col min="10" max="10" width="11.28515625" customWidth="1"/>
    <col min="11" max="11" width="11.7109375" customWidth="1"/>
    <col min="12" max="12" width="13.7109375" customWidth="1"/>
    <col min="13" max="13" width="6.85546875" customWidth="1"/>
    <col min="14" max="14" width="16" customWidth="1"/>
  </cols>
  <sheetData>
    <row r="1" spans="1:14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4" x14ac:dyDescent="0.25">
      <c r="A2" s="1" t="s">
        <v>1</v>
      </c>
      <c r="B2" s="1" t="s">
        <v>2</v>
      </c>
      <c r="C2" s="2"/>
      <c r="D2" s="2"/>
      <c r="E2" s="2"/>
      <c r="F2" s="2"/>
      <c r="G2" s="2"/>
      <c r="H2" s="2"/>
      <c r="I2" s="2"/>
      <c r="J2" s="2"/>
      <c r="K2" s="2"/>
      <c r="L2" s="23" t="s">
        <v>3</v>
      </c>
      <c r="M2" s="24"/>
      <c r="N2" s="24"/>
    </row>
    <row r="3" spans="1:14" x14ac:dyDescent="0.25">
      <c r="A3" s="1">
        <v>1</v>
      </c>
      <c r="B3" s="3" t="s">
        <v>4</v>
      </c>
      <c r="C3" s="4">
        <v>10000</v>
      </c>
      <c r="D3" s="4">
        <v>10000</v>
      </c>
      <c r="E3" s="4">
        <v>5000</v>
      </c>
      <c r="F3" s="4">
        <v>10000</v>
      </c>
      <c r="G3" s="4">
        <v>10000</v>
      </c>
      <c r="H3" s="4">
        <v>10000</v>
      </c>
      <c r="I3" s="4">
        <v>10000</v>
      </c>
      <c r="J3" s="4">
        <v>10000</v>
      </c>
      <c r="K3" s="4">
        <v>10000</v>
      </c>
      <c r="L3">
        <v>1000</v>
      </c>
      <c r="M3">
        <v>2</v>
      </c>
      <c r="N3">
        <f t="shared" ref="N3:N11" si="0">SUM(L3*M3)</f>
        <v>2000</v>
      </c>
    </row>
    <row r="4" spans="1:14" x14ac:dyDescent="0.25">
      <c r="A4" s="1">
        <v>2</v>
      </c>
      <c r="B4" s="3" t="s">
        <v>5</v>
      </c>
      <c r="C4" s="4">
        <v>1100</v>
      </c>
      <c r="D4" s="4">
        <v>1160</v>
      </c>
      <c r="E4" s="4">
        <v>1000</v>
      </c>
      <c r="F4" s="4">
        <v>1100</v>
      </c>
      <c r="G4" s="4">
        <v>1060</v>
      </c>
      <c r="H4" s="4">
        <v>1200</v>
      </c>
      <c r="I4" s="4">
        <v>1100</v>
      </c>
      <c r="J4" s="4">
        <v>1140</v>
      </c>
      <c r="K4" s="4">
        <v>1130</v>
      </c>
      <c r="L4">
        <v>500</v>
      </c>
      <c r="M4">
        <v>15</v>
      </c>
      <c r="N4">
        <f t="shared" si="0"/>
        <v>7500</v>
      </c>
    </row>
    <row r="5" spans="1:14" x14ac:dyDescent="0.25">
      <c r="A5" s="1">
        <v>3</v>
      </c>
      <c r="B5" s="3" t="s">
        <v>6</v>
      </c>
      <c r="C5" s="4">
        <v>700</v>
      </c>
      <c r="D5" s="4">
        <v>800</v>
      </c>
      <c r="E5" s="4">
        <v>750</v>
      </c>
      <c r="F5" s="4">
        <v>550</v>
      </c>
      <c r="G5" s="14" t="s">
        <v>28</v>
      </c>
      <c r="H5" s="14">
        <v>1020</v>
      </c>
      <c r="I5" s="14" t="s">
        <v>28</v>
      </c>
      <c r="J5" s="4">
        <v>1040</v>
      </c>
      <c r="K5" s="14" t="s">
        <v>28</v>
      </c>
      <c r="L5">
        <v>200</v>
      </c>
      <c r="M5">
        <v>0</v>
      </c>
      <c r="N5">
        <f t="shared" si="0"/>
        <v>0</v>
      </c>
    </row>
    <row r="6" spans="1:14" x14ac:dyDescent="0.25">
      <c r="A6" s="1">
        <v>4</v>
      </c>
      <c r="B6" s="3" t="s">
        <v>7</v>
      </c>
      <c r="C6" s="4">
        <v>1300</v>
      </c>
      <c r="D6" s="4">
        <v>1220</v>
      </c>
      <c r="E6" s="4">
        <v>1120</v>
      </c>
      <c r="F6" s="4">
        <v>1150</v>
      </c>
      <c r="G6" s="4">
        <v>1300</v>
      </c>
      <c r="H6" s="4"/>
      <c r="I6" s="4">
        <v>1200</v>
      </c>
      <c r="J6" s="4"/>
      <c r="K6" s="4">
        <v>1200</v>
      </c>
      <c r="L6">
        <v>100</v>
      </c>
      <c r="M6">
        <v>19</v>
      </c>
      <c r="N6">
        <f t="shared" si="0"/>
        <v>1900</v>
      </c>
    </row>
    <row r="7" spans="1:14" x14ac:dyDescent="0.25">
      <c r="A7" s="1">
        <v>5</v>
      </c>
      <c r="B7" s="3" t="s">
        <v>8</v>
      </c>
      <c r="C7" s="4">
        <v>1070</v>
      </c>
      <c r="D7" s="4">
        <v>1200</v>
      </c>
      <c r="E7" s="4">
        <v>1200</v>
      </c>
      <c r="F7" s="4">
        <v>1200</v>
      </c>
      <c r="G7" s="4"/>
      <c r="H7" s="4">
        <v>2250</v>
      </c>
      <c r="I7" s="4">
        <v>1100</v>
      </c>
      <c r="J7" s="4">
        <v>1100</v>
      </c>
      <c r="K7" s="4">
        <v>1100</v>
      </c>
      <c r="L7">
        <v>50</v>
      </c>
      <c r="M7">
        <v>14</v>
      </c>
      <c r="N7">
        <f t="shared" si="0"/>
        <v>700</v>
      </c>
    </row>
    <row r="8" spans="1:14" x14ac:dyDescent="0.25">
      <c r="A8" s="1">
        <v>6</v>
      </c>
      <c r="B8" s="3" t="s">
        <v>9</v>
      </c>
      <c r="C8" s="4"/>
      <c r="D8" s="4"/>
      <c r="E8" s="4"/>
      <c r="F8" s="4"/>
      <c r="G8" s="4"/>
      <c r="H8" s="4"/>
      <c r="I8" s="4"/>
      <c r="J8" s="4"/>
      <c r="K8" s="4"/>
      <c r="L8">
        <v>20</v>
      </c>
      <c r="M8">
        <v>1</v>
      </c>
      <c r="N8">
        <f t="shared" si="0"/>
        <v>20</v>
      </c>
    </row>
    <row r="9" spans="1:14" x14ac:dyDescent="0.25">
      <c r="A9" s="1">
        <v>7</v>
      </c>
      <c r="B9" s="3" t="s">
        <v>10</v>
      </c>
      <c r="C9" s="4">
        <v>1610</v>
      </c>
      <c r="D9" s="4">
        <v>1650</v>
      </c>
      <c r="E9" s="4">
        <v>2040</v>
      </c>
      <c r="F9" s="4">
        <v>2290</v>
      </c>
      <c r="G9" s="4">
        <v>2070</v>
      </c>
      <c r="H9" s="4">
        <v>2000</v>
      </c>
      <c r="I9" s="4">
        <v>1870</v>
      </c>
      <c r="J9" s="4">
        <v>2110</v>
      </c>
      <c r="K9" s="4">
        <v>2360</v>
      </c>
      <c r="L9">
        <v>10</v>
      </c>
      <c r="M9" s="5">
        <v>0</v>
      </c>
      <c r="N9">
        <f t="shared" si="0"/>
        <v>0</v>
      </c>
    </row>
    <row r="10" spans="1:14" x14ac:dyDescent="0.25">
      <c r="A10" s="1">
        <v>8</v>
      </c>
      <c r="B10" s="3" t="s">
        <v>20</v>
      </c>
      <c r="C10" s="4">
        <v>1200</v>
      </c>
      <c r="D10" s="4"/>
      <c r="E10" s="4">
        <v>1200</v>
      </c>
      <c r="F10" s="4">
        <v>1200</v>
      </c>
      <c r="G10" s="4">
        <v>1200</v>
      </c>
      <c r="H10" s="4"/>
      <c r="I10" s="4">
        <v>1200</v>
      </c>
      <c r="J10" s="4">
        <v>1200</v>
      </c>
      <c r="K10" s="4">
        <v>1200</v>
      </c>
      <c r="L10">
        <v>5</v>
      </c>
      <c r="M10" s="6">
        <v>1</v>
      </c>
      <c r="N10">
        <f t="shared" si="0"/>
        <v>5</v>
      </c>
    </row>
    <row r="11" spans="1:14" x14ac:dyDescent="0.25">
      <c r="A11" s="1">
        <v>9</v>
      </c>
      <c r="B11" s="3" t="s">
        <v>11</v>
      </c>
      <c r="C11" s="4">
        <v>3000</v>
      </c>
      <c r="D11" s="4">
        <v>2000</v>
      </c>
      <c r="E11" s="4"/>
      <c r="F11" s="4">
        <v>2000</v>
      </c>
      <c r="G11" s="4"/>
      <c r="H11" s="4">
        <v>2000</v>
      </c>
      <c r="I11" s="4">
        <v>2000</v>
      </c>
      <c r="J11" s="4">
        <v>2000</v>
      </c>
      <c r="K11" s="4">
        <v>2000</v>
      </c>
      <c r="L11">
        <v>1</v>
      </c>
      <c r="M11" s="6">
        <v>0</v>
      </c>
      <c r="N11">
        <f t="shared" si="0"/>
        <v>0</v>
      </c>
    </row>
    <row r="12" spans="1:14" x14ac:dyDescent="0.25">
      <c r="A12" s="1">
        <v>10</v>
      </c>
      <c r="B12" s="3" t="s">
        <v>12</v>
      </c>
      <c r="C12" s="4">
        <v>1500</v>
      </c>
      <c r="D12" s="4">
        <v>1500</v>
      </c>
      <c r="E12" s="4">
        <v>1500</v>
      </c>
      <c r="F12" s="4"/>
      <c r="G12" s="4"/>
      <c r="H12" s="4">
        <v>1500</v>
      </c>
      <c r="I12" s="4">
        <v>1500</v>
      </c>
      <c r="J12" s="4"/>
      <c r="K12" s="4"/>
      <c r="L12" t="s">
        <v>13</v>
      </c>
      <c r="M12">
        <v>0</v>
      </c>
    </row>
    <row r="13" spans="1:14" x14ac:dyDescent="0.25">
      <c r="A13" s="1">
        <v>11</v>
      </c>
      <c r="B13" s="3" t="s">
        <v>14</v>
      </c>
      <c r="C13" s="4">
        <v>4000</v>
      </c>
      <c r="D13" s="4">
        <v>4000</v>
      </c>
      <c r="E13" s="4">
        <v>4000</v>
      </c>
      <c r="F13" s="4">
        <v>4000</v>
      </c>
      <c r="G13" s="4">
        <v>4000</v>
      </c>
      <c r="H13" s="4">
        <v>4000</v>
      </c>
      <c r="I13" s="4">
        <v>4000</v>
      </c>
      <c r="J13" s="4"/>
      <c r="K13" s="4">
        <v>4000</v>
      </c>
      <c r="N13" s="7"/>
    </row>
    <row r="14" spans="1:14" x14ac:dyDescent="0.25">
      <c r="A14" s="1">
        <v>12</v>
      </c>
      <c r="B14" s="3" t="s">
        <v>15</v>
      </c>
      <c r="C14" s="4"/>
      <c r="D14" s="4"/>
      <c r="E14" s="4"/>
      <c r="F14" s="4"/>
      <c r="G14" s="4"/>
      <c r="H14" s="4"/>
      <c r="I14" s="4"/>
      <c r="J14" s="4"/>
      <c r="K14" s="4"/>
      <c r="L14" t="s">
        <v>16</v>
      </c>
      <c r="N14" s="7">
        <f>SUM(N3:N12)</f>
        <v>12125</v>
      </c>
    </row>
    <row r="15" spans="1:14" x14ac:dyDescent="0.25">
      <c r="A15" s="1">
        <v>13</v>
      </c>
      <c r="B15" s="3" t="s">
        <v>17</v>
      </c>
      <c r="C15" s="4"/>
      <c r="D15" s="4"/>
      <c r="E15" s="4"/>
      <c r="F15" s="4"/>
      <c r="G15" s="4"/>
      <c r="H15" s="4"/>
      <c r="I15" s="4"/>
      <c r="J15" s="4"/>
      <c r="K15" s="9"/>
      <c r="N15" s="8"/>
    </row>
    <row r="16" spans="1:14" x14ac:dyDescent="0.25">
      <c r="A16" s="1">
        <v>14</v>
      </c>
      <c r="B16" s="3" t="s">
        <v>18</v>
      </c>
      <c r="C16" s="4"/>
      <c r="D16" s="9"/>
      <c r="E16" s="9"/>
      <c r="F16" s="9"/>
      <c r="G16" s="9"/>
      <c r="H16" s="9"/>
      <c r="I16" s="9"/>
      <c r="J16" s="9"/>
      <c r="K16" s="9"/>
      <c r="N16" s="8">
        <f>SUM(N14:N15)</f>
        <v>12125</v>
      </c>
    </row>
    <row r="17" spans="2:14" x14ac:dyDescent="0.25">
      <c r="B17" s="10" t="s">
        <v>19</v>
      </c>
      <c r="C17" s="8">
        <f t="shared" ref="C17:H17" si="1">SUM(C3:C16)</f>
        <v>25480</v>
      </c>
      <c r="D17" s="8">
        <f t="shared" si="1"/>
        <v>23530</v>
      </c>
      <c r="E17" s="8">
        <f t="shared" si="1"/>
        <v>17810</v>
      </c>
      <c r="F17" s="8">
        <f t="shared" si="1"/>
        <v>23490</v>
      </c>
      <c r="G17" s="8">
        <f t="shared" si="1"/>
        <v>19630</v>
      </c>
      <c r="H17" s="8">
        <f t="shared" si="1"/>
        <v>23970</v>
      </c>
      <c r="I17" s="8">
        <f>SUM(I3:I16)</f>
        <v>23970</v>
      </c>
      <c r="J17" s="8">
        <f>SUM(J3:J16)</f>
        <v>18590</v>
      </c>
      <c r="K17" s="8">
        <f>SUM(K3:K16)</f>
        <v>22990</v>
      </c>
    </row>
    <row r="18" spans="2:14" x14ac:dyDescent="0.25">
      <c r="N18" s="16"/>
    </row>
    <row r="19" spans="2:14" x14ac:dyDescent="0.25">
      <c r="B19" s="12" t="s">
        <v>21</v>
      </c>
      <c r="C19" s="11">
        <v>46087</v>
      </c>
      <c r="D19" s="11">
        <v>46094</v>
      </c>
      <c r="E19" s="11">
        <v>46100</v>
      </c>
      <c r="F19" s="11">
        <v>46111</v>
      </c>
      <c r="G19" s="11">
        <v>46113</v>
      </c>
      <c r="H19" s="11">
        <v>46122</v>
      </c>
      <c r="I19" s="11">
        <v>46132</v>
      </c>
      <c r="J19" s="11">
        <v>46142</v>
      </c>
      <c r="K19" s="11">
        <v>46156</v>
      </c>
    </row>
    <row r="22" spans="2:14" x14ac:dyDescent="0.25">
      <c r="F22" t="s">
        <v>29</v>
      </c>
      <c r="G22" s="11">
        <v>46113</v>
      </c>
      <c r="H22">
        <v>400</v>
      </c>
    </row>
    <row r="23" spans="2:14" x14ac:dyDescent="0.25">
      <c r="G23" s="11">
        <v>46120</v>
      </c>
      <c r="H23">
        <v>620</v>
      </c>
    </row>
    <row r="24" spans="2:14" x14ac:dyDescent="0.25">
      <c r="F24" t="s">
        <v>21</v>
      </c>
      <c r="G24" s="11">
        <v>46122</v>
      </c>
      <c r="H24" s="15">
        <f>SUM(H22:H23)</f>
        <v>1020</v>
      </c>
    </row>
  </sheetData>
  <mergeCells count="2">
    <mergeCell ref="A1:L1"/>
    <mergeCell ref="L2:N2"/>
  </mergeCells>
  <pageMargins left="0.7" right="0.7" top="0.75" bottom="0.75" header="0.3" footer="0.3"/>
  <pageSetup paperSize="256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91B8F-16A2-4282-B884-ED52D308F589}">
  <dimension ref="A1:Q33"/>
  <sheetViews>
    <sheetView tabSelected="1" zoomScale="98" zoomScaleNormal="98" workbookViewId="0">
      <selection activeCell="J32" sqref="J32"/>
    </sheetView>
  </sheetViews>
  <sheetFormatPr defaultRowHeight="15" x14ac:dyDescent="0.25"/>
  <cols>
    <col min="1" max="1" width="4.140625" bestFit="1" customWidth="1"/>
    <col min="2" max="2" width="19.7109375" customWidth="1"/>
    <col min="3" max="3" width="11.42578125" customWidth="1"/>
    <col min="4" max="5" width="12.7109375" customWidth="1"/>
    <col min="6" max="6" width="11.85546875" customWidth="1"/>
    <col min="7" max="7" width="11.5703125" customWidth="1"/>
    <col min="8" max="8" width="11.140625" customWidth="1"/>
    <col min="9" max="11" width="10.7109375" bestFit="1" customWidth="1"/>
    <col min="12" max="12" width="13.7109375" customWidth="1"/>
    <col min="13" max="13" width="6.85546875" customWidth="1"/>
    <col min="14" max="14" width="16" customWidth="1"/>
    <col min="16" max="16" width="10.5703125" customWidth="1"/>
    <col min="17" max="17" width="9.5703125" bestFit="1" customWidth="1"/>
  </cols>
  <sheetData>
    <row r="1" spans="1:17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7" x14ac:dyDescent="0.25">
      <c r="A2" s="1" t="s">
        <v>1</v>
      </c>
      <c r="B2" s="1" t="s">
        <v>2</v>
      </c>
      <c r="C2" s="2"/>
      <c r="D2" s="2"/>
      <c r="E2" s="2"/>
      <c r="F2" s="2"/>
      <c r="G2" s="2"/>
      <c r="H2" s="2"/>
      <c r="I2" s="2"/>
      <c r="J2" s="2"/>
      <c r="K2" s="2"/>
      <c r="L2" s="23" t="s">
        <v>3</v>
      </c>
      <c r="M2" s="24"/>
      <c r="N2" s="24"/>
    </row>
    <row r="3" spans="1:17" x14ac:dyDescent="0.25">
      <c r="A3" s="1">
        <v>1</v>
      </c>
      <c r="B3" s="3" t="s">
        <v>4</v>
      </c>
      <c r="C3" s="4">
        <v>5000</v>
      </c>
      <c r="D3" s="4">
        <v>5000</v>
      </c>
      <c r="E3" s="4">
        <v>5000</v>
      </c>
      <c r="F3" s="4">
        <v>5000</v>
      </c>
      <c r="G3" s="4"/>
      <c r="H3" s="4"/>
      <c r="I3" s="4"/>
      <c r="J3" s="4"/>
      <c r="K3" s="4"/>
      <c r="L3">
        <v>1000</v>
      </c>
      <c r="M3">
        <v>4</v>
      </c>
      <c r="N3">
        <f>SUM(L3*M3)</f>
        <v>4000</v>
      </c>
      <c r="P3" s="11"/>
      <c r="Q3" s="7"/>
    </row>
    <row r="4" spans="1:17" x14ac:dyDescent="0.25">
      <c r="A4" s="1">
        <v>2</v>
      </c>
      <c r="B4" s="3" t="s">
        <v>5</v>
      </c>
      <c r="C4" s="4">
        <v>1150</v>
      </c>
      <c r="D4" s="4">
        <v>1120</v>
      </c>
      <c r="E4" s="4">
        <v>1100</v>
      </c>
      <c r="F4" s="4"/>
      <c r="G4" s="4"/>
      <c r="H4" s="4"/>
      <c r="I4" s="4"/>
      <c r="J4" s="4"/>
      <c r="K4" s="4"/>
      <c r="L4">
        <v>500</v>
      </c>
      <c r="M4">
        <v>18</v>
      </c>
      <c r="N4">
        <f t="shared" ref="N4:N11" si="0">SUM(L4*M4)</f>
        <v>9000</v>
      </c>
    </row>
    <row r="5" spans="1:17" x14ac:dyDescent="0.25">
      <c r="A5" s="1">
        <v>3</v>
      </c>
      <c r="B5" s="3" t="s">
        <v>6</v>
      </c>
      <c r="C5" s="4">
        <v>1610</v>
      </c>
      <c r="D5" s="4"/>
      <c r="E5" s="4">
        <v>1720</v>
      </c>
      <c r="F5" s="4"/>
      <c r="G5" s="14"/>
      <c r="H5" s="14"/>
      <c r="I5" s="4"/>
      <c r="J5" s="4"/>
      <c r="K5" s="4"/>
      <c r="L5">
        <v>200</v>
      </c>
      <c r="M5">
        <v>1</v>
      </c>
      <c r="N5">
        <f t="shared" si="0"/>
        <v>200</v>
      </c>
    </row>
    <row r="6" spans="1:17" x14ac:dyDescent="0.25">
      <c r="A6" s="1">
        <v>4</v>
      </c>
      <c r="B6" s="3" t="s">
        <v>7</v>
      </c>
      <c r="C6" s="4">
        <v>1180</v>
      </c>
      <c r="D6" s="4">
        <v>1120</v>
      </c>
      <c r="E6" s="4">
        <v>1210</v>
      </c>
      <c r="F6" s="4"/>
      <c r="G6" s="4"/>
      <c r="H6" s="4"/>
      <c r="I6" s="4"/>
      <c r="J6" s="4"/>
      <c r="K6" s="4"/>
      <c r="L6">
        <v>100</v>
      </c>
      <c r="M6">
        <v>8</v>
      </c>
      <c r="N6">
        <f t="shared" si="0"/>
        <v>800</v>
      </c>
    </row>
    <row r="7" spans="1:17" x14ac:dyDescent="0.25">
      <c r="A7" s="1">
        <v>5</v>
      </c>
      <c r="B7" s="3" t="s">
        <v>8</v>
      </c>
      <c r="C7" s="4">
        <v>1200</v>
      </c>
      <c r="D7" s="4">
        <v>1200</v>
      </c>
      <c r="E7" s="4">
        <v>1200</v>
      </c>
      <c r="F7" s="4"/>
      <c r="G7" s="4"/>
      <c r="H7" s="4"/>
      <c r="I7" s="4"/>
      <c r="J7" s="4"/>
      <c r="K7" s="4"/>
      <c r="L7">
        <v>50</v>
      </c>
      <c r="M7">
        <v>0</v>
      </c>
      <c r="N7">
        <f t="shared" si="0"/>
        <v>0</v>
      </c>
    </row>
    <row r="8" spans="1:17" x14ac:dyDescent="0.25">
      <c r="A8" s="1">
        <v>6</v>
      </c>
      <c r="B8" s="3" t="s">
        <v>9</v>
      </c>
      <c r="C8" s="4">
        <v>500</v>
      </c>
      <c r="D8" s="4">
        <v>500</v>
      </c>
      <c r="E8" s="4">
        <v>650</v>
      </c>
      <c r="F8" s="4"/>
      <c r="G8" s="4"/>
      <c r="H8" s="4"/>
      <c r="I8" s="4"/>
      <c r="J8" s="4"/>
      <c r="K8" s="4"/>
      <c r="L8">
        <v>20</v>
      </c>
      <c r="M8">
        <v>1</v>
      </c>
      <c r="N8">
        <f t="shared" si="0"/>
        <v>20</v>
      </c>
    </row>
    <row r="9" spans="1:17" x14ac:dyDescent="0.25">
      <c r="A9" s="1">
        <v>7</v>
      </c>
      <c r="B9" s="3" t="s">
        <v>10</v>
      </c>
      <c r="C9" s="4">
        <v>3540</v>
      </c>
      <c r="D9" s="4">
        <v>4300</v>
      </c>
      <c r="E9" s="4">
        <v>2940</v>
      </c>
      <c r="F9" s="4"/>
      <c r="G9" s="4"/>
      <c r="H9" s="4"/>
      <c r="I9" s="4"/>
      <c r="J9" s="4"/>
      <c r="K9" s="4"/>
      <c r="L9">
        <v>10</v>
      </c>
      <c r="M9" s="5">
        <v>0</v>
      </c>
      <c r="N9">
        <f t="shared" si="0"/>
        <v>0</v>
      </c>
    </row>
    <row r="10" spans="1:17" x14ac:dyDescent="0.25">
      <c r="A10" s="1">
        <v>8</v>
      </c>
      <c r="B10" s="3" t="s">
        <v>20</v>
      </c>
      <c r="C10" s="4"/>
      <c r="D10" s="4">
        <v>1200</v>
      </c>
      <c r="E10" s="4"/>
      <c r="F10" s="4">
        <v>1200</v>
      </c>
      <c r="G10" s="4"/>
      <c r="H10" s="4"/>
      <c r="I10" s="4"/>
      <c r="J10" s="4"/>
      <c r="K10" s="4"/>
      <c r="L10">
        <v>5</v>
      </c>
      <c r="M10" s="6">
        <v>0</v>
      </c>
      <c r="N10">
        <f t="shared" si="0"/>
        <v>0</v>
      </c>
    </row>
    <row r="11" spans="1:17" x14ac:dyDescent="0.25">
      <c r="A11" s="1">
        <v>9</v>
      </c>
      <c r="B11" s="3" t="s">
        <v>11</v>
      </c>
      <c r="C11" s="4">
        <v>2000</v>
      </c>
      <c r="D11" s="4">
        <v>2000</v>
      </c>
      <c r="E11" s="4"/>
      <c r="F11" s="4">
        <v>2000</v>
      </c>
      <c r="G11" s="4"/>
      <c r="H11" s="4"/>
      <c r="I11" s="4"/>
      <c r="J11" s="4"/>
      <c r="K11" s="4"/>
      <c r="L11">
        <v>1</v>
      </c>
      <c r="M11" s="6">
        <v>0</v>
      </c>
      <c r="N11">
        <f t="shared" si="0"/>
        <v>0</v>
      </c>
    </row>
    <row r="12" spans="1:17" x14ac:dyDescent="0.25">
      <c r="A12" s="1">
        <v>10</v>
      </c>
      <c r="B12" s="3" t="s">
        <v>12</v>
      </c>
      <c r="C12" s="4"/>
      <c r="D12" s="4"/>
      <c r="E12" s="4">
        <v>1500</v>
      </c>
      <c r="F12" s="4"/>
      <c r="G12" s="4"/>
      <c r="H12" s="4"/>
      <c r="I12" s="4"/>
      <c r="J12" s="4"/>
      <c r="K12" s="4"/>
      <c r="L12" t="s">
        <v>13</v>
      </c>
      <c r="M12">
        <v>0</v>
      </c>
    </row>
    <row r="13" spans="1:17" x14ac:dyDescent="0.25">
      <c r="A13" s="1">
        <v>11</v>
      </c>
      <c r="B13" s="3" t="s">
        <v>14</v>
      </c>
      <c r="C13" s="4">
        <v>4000</v>
      </c>
      <c r="D13" s="4">
        <v>4000</v>
      </c>
      <c r="E13" s="4">
        <v>4000</v>
      </c>
      <c r="F13" s="4"/>
      <c r="G13" s="4"/>
      <c r="H13" s="4"/>
      <c r="I13" s="4"/>
      <c r="J13" s="4"/>
      <c r="K13" s="4"/>
      <c r="N13" s="7"/>
    </row>
    <row r="14" spans="1:17" x14ac:dyDescent="0.25">
      <c r="A14" s="1">
        <v>12</v>
      </c>
      <c r="B14" s="3" t="s">
        <v>15</v>
      </c>
      <c r="C14" s="4"/>
      <c r="D14" s="4"/>
      <c r="E14" s="4"/>
      <c r="F14" s="4"/>
      <c r="G14" s="4"/>
      <c r="H14" s="4"/>
      <c r="I14" s="4"/>
      <c r="J14" s="4"/>
      <c r="K14" s="4"/>
      <c r="L14" t="s">
        <v>16</v>
      </c>
      <c r="N14" s="7">
        <f>SUM(N3:N11)</f>
        <v>14020</v>
      </c>
    </row>
    <row r="15" spans="1:17" x14ac:dyDescent="0.25">
      <c r="A15" s="1">
        <v>13</v>
      </c>
      <c r="B15" s="3" t="s">
        <v>17</v>
      </c>
      <c r="C15" s="4"/>
      <c r="D15" s="4"/>
      <c r="E15" s="4"/>
      <c r="F15" s="4"/>
      <c r="G15" s="4"/>
      <c r="H15" s="4"/>
      <c r="I15" s="4"/>
      <c r="J15" s="4"/>
      <c r="K15" s="4"/>
      <c r="N15" s="8"/>
    </row>
    <row r="16" spans="1:17" x14ac:dyDescent="0.25">
      <c r="A16" s="1">
        <v>14</v>
      </c>
      <c r="B16" s="3" t="s">
        <v>30</v>
      </c>
      <c r="C16" s="4"/>
      <c r="D16" s="17">
        <v>700</v>
      </c>
      <c r="E16" s="9"/>
      <c r="F16" s="9"/>
      <c r="G16" s="9"/>
      <c r="H16" s="9"/>
      <c r="I16" s="9"/>
      <c r="J16" s="9"/>
      <c r="K16" s="9"/>
      <c r="N16" s="8"/>
    </row>
    <row r="17" spans="1:11" x14ac:dyDescent="0.25">
      <c r="B17" s="10" t="s">
        <v>19</v>
      </c>
      <c r="C17" s="8">
        <f t="shared" ref="C17:E17" si="1">SUM(C3:C16)</f>
        <v>20180</v>
      </c>
      <c r="D17" s="8">
        <f t="shared" si="1"/>
        <v>21140</v>
      </c>
      <c r="E17" s="8">
        <f t="shared" si="1"/>
        <v>19320</v>
      </c>
      <c r="F17" s="8">
        <f>SUM(F3:F16)</f>
        <v>8200</v>
      </c>
      <c r="G17" s="8"/>
      <c r="H17" s="8"/>
      <c r="I17" s="8"/>
      <c r="J17" s="8"/>
    </row>
    <row r="19" spans="1:11" x14ac:dyDescent="0.25">
      <c r="B19" s="12" t="s">
        <v>21</v>
      </c>
      <c r="C19" s="11">
        <v>46163</v>
      </c>
      <c r="D19" s="11">
        <v>46177</v>
      </c>
      <c r="E19" s="11">
        <v>46189</v>
      </c>
      <c r="F19" s="11">
        <v>46202</v>
      </c>
      <c r="G19" s="11"/>
      <c r="H19" s="11"/>
    </row>
    <row r="23" spans="1:11" x14ac:dyDescent="0.25">
      <c r="A23" s="25" t="s">
        <v>31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</row>
    <row r="24" spans="1:11" x14ac:dyDescent="0.25">
      <c r="A24" s="1" t="s">
        <v>1</v>
      </c>
      <c r="B24" s="18" t="s">
        <v>2</v>
      </c>
      <c r="C24" s="19"/>
      <c r="D24" s="19"/>
      <c r="E24" s="19"/>
      <c r="F24" s="19"/>
      <c r="G24" s="19"/>
    </row>
    <row r="25" spans="1:11" x14ac:dyDescent="0.25">
      <c r="A25" s="18">
        <v>1</v>
      </c>
      <c r="B25" s="18" t="s">
        <v>32</v>
      </c>
      <c r="C25" s="21">
        <v>1200</v>
      </c>
      <c r="D25" s="21"/>
      <c r="E25" s="18"/>
      <c r="F25" s="18"/>
      <c r="G25" s="18"/>
    </row>
    <row r="26" spans="1:11" x14ac:dyDescent="0.25">
      <c r="A26" s="18">
        <v>2</v>
      </c>
      <c r="B26" s="18" t="s">
        <v>17</v>
      </c>
      <c r="C26" s="21"/>
      <c r="D26" s="21"/>
      <c r="E26" s="18"/>
      <c r="F26" s="18"/>
      <c r="G26" s="18"/>
    </row>
    <row r="27" spans="1:11" x14ac:dyDescent="0.25">
      <c r="A27" s="18">
        <v>3</v>
      </c>
      <c r="B27" s="18" t="s">
        <v>6</v>
      </c>
      <c r="C27" s="21"/>
      <c r="D27" s="21"/>
      <c r="E27" s="18"/>
      <c r="F27" s="18"/>
      <c r="G27" s="18"/>
    </row>
    <row r="28" spans="1:11" x14ac:dyDescent="0.25">
      <c r="A28" s="18">
        <v>4</v>
      </c>
      <c r="B28" s="18" t="s">
        <v>5</v>
      </c>
      <c r="C28" s="21">
        <v>1020</v>
      </c>
      <c r="D28" s="21"/>
      <c r="E28" s="18"/>
      <c r="F28" s="18"/>
      <c r="G28" s="18"/>
    </row>
    <row r="29" spans="1:11" x14ac:dyDescent="0.25">
      <c r="A29" s="18">
        <v>5</v>
      </c>
      <c r="B29" s="18" t="s">
        <v>7</v>
      </c>
      <c r="C29" s="21">
        <v>1120</v>
      </c>
      <c r="D29" s="21"/>
      <c r="E29" s="18"/>
      <c r="F29" s="18"/>
      <c r="G29" s="18"/>
    </row>
    <row r="30" spans="1:11" x14ac:dyDescent="0.25">
      <c r="A30" s="18">
        <v>6</v>
      </c>
      <c r="B30" s="18" t="s">
        <v>10</v>
      </c>
      <c r="C30" s="21">
        <v>3240</v>
      </c>
      <c r="D30" s="21"/>
      <c r="E30" s="18"/>
      <c r="F30" s="18"/>
      <c r="G30" s="18"/>
    </row>
    <row r="31" spans="1:11" x14ac:dyDescent="0.25">
      <c r="B31" s="20" t="s">
        <v>19</v>
      </c>
      <c r="C31" s="8">
        <f>SUM(C25:C30)</f>
        <v>6580</v>
      </c>
    </row>
    <row r="33" spans="2:3" x14ac:dyDescent="0.25">
      <c r="B33" t="s">
        <v>33</v>
      </c>
      <c r="C33" s="11">
        <v>46191</v>
      </c>
    </row>
  </sheetData>
  <mergeCells count="3">
    <mergeCell ref="A1:L1"/>
    <mergeCell ref="L2:N2"/>
    <mergeCell ref="A23:K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Jan-Feb 2026</vt:lpstr>
      <vt:lpstr>Mar-Apr 2026</vt:lpstr>
      <vt:lpstr>May-June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Jezrel Cafino</dc:creator>
  <cp:lastModifiedBy>Jezrel Cafino</cp:lastModifiedBy>
  <cp:lastPrinted>2026-05-04T00:04:18Z</cp:lastPrinted>
  <dcterms:created xsi:type="dcterms:W3CDTF">2026-01-05T00:59:03Z</dcterms:created>
  <dcterms:modified xsi:type="dcterms:W3CDTF">2026-07-06T08:49:28Z</dcterms:modified>
</cp:coreProperties>
</file>